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apa\"/>
    </mc:Choice>
  </mc:AlternateContent>
  <xr:revisionPtr revIDLastSave="0" documentId="8_{8F1CEB3A-57C8-4B0C-AAA1-D958D12D3C49}" xr6:coauthVersionLast="47" xr6:coauthVersionMax="47" xr10:uidLastSave="{00000000-0000-0000-0000-000000000000}"/>
  <bookViews>
    <workbookView xWindow="-108" yWindow="-108" windowWidth="23256" windowHeight="12456" activeTab="5" xr2:uid="{DD6CED97-BFEC-4644-BFC3-8B7B86719FC8}"/>
  </bookViews>
  <sheets>
    <sheet name="Executive Summary" sheetId="1" r:id="rId1"/>
    <sheet name="Production by Job" sheetId="2" r:id="rId2"/>
    <sheet name="Production by Crew" sheetId="3" r:id="rId3"/>
    <sheet name="Daily Totals" sheetId="4" r:id="rId4"/>
    <sheet name="Issues &amp; Flags" sheetId="5" r:id="rId5"/>
    <sheet name="Charts &amp; Dashboard" sheetId="6" r:id="rId6"/>
  </sheets>
  <externalReferences>
    <externalReference r:id="rId7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<sst xmlns="http://schemas.openxmlformats.org/spreadsheetml/2006/main" count="475" uniqueCount="338">
  <si>
    <t>SW CHEESE — Production by Job</t>
  </si>
  <si>
    <t>SW CHEESE — Executive Summary</t>
  </si>
  <si>
    <t>BUDGETED HRS</t>
  </si>
  <si>
    <t>HRS TO DATE</t>
  </si>
  <si>
    <t>% COMPLETE</t>
  </si>
  <si>
    <t>WORK DAYS</t>
  </si>
  <si>
    <t>CREW SIZE</t>
  </si>
  <si>
    <t>JOB OVERVIEW</t>
  </si>
  <si>
    <t>Job Name</t>
  </si>
  <si>
    <t>SW Cheese</t>
  </si>
  <si>
    <t>Project Number</t>
  </si>
  <si>
    <t>#300155</t>
  </si>
  <si>
    <t>Total Budgeted Hours</t>
  </si>
  <si>
    <t>4,355 hrs</t>
  </si>
  <si>
    <t>Total Job Days</t>
  </si>
  <si>
    <t>Start Date</t>
  </si>
  <si>
    <t>05/16/2022</t>
  </si>
  <si>
    <t>Last Report Date</t>
  </si>
  <si>
    <t>07/21/2022</t>
  </si>
  <si>
    <t>Reporting Period</t>
  </si>
  <si>
    <t>05/16/2022 – 07/21/2022</t>
  </si>
  <si>
    <t>HOURS SUMMARY</t>
  </si>
  <si>
    <t>Total Hours (Sum of Daily Logs — This File)</t>
  </si>
  <si>
    <t>5,342.75 hrs</t>
  </si>
  <si>
    <t>Budgeted Hours</t>
  </si>
  <si>
    <t>Hours Remaining vs Budget</t>
  </si>
  <si>
    <t>987.75 hrs</t>
  </si>
  <si>
    <t>Weather Delay Hours</t>
  </si>
  <si>
    <t>253.5 hrs (tracked in logs)</t>
  </si>
  <si>
    <t>Work Outside Original Scope</t>
  </si>
  <si>
    <t>99 hrs (tracked in logs)</t>
  </si>
  <si>
    <t>Days Off / No Production</t>
  </si>
  <si>
    <t>Total Calendar Days</t>
  </si>
  <si>
    <t>Total Work Days</t>
  </si>
  <si>
    <t>FLAGS FOR LEADERSHIP ATTENTION</t>
  </si>
  <si>
    <t>• Gonzales, M. (6/20): logged only 2 hrs vs crew avg 9 hrs — likely data entry error; verify with superintendent</t>
  </si>
  <si>
    <t>• 05/23 full weather delay (92.25 hrs) — moved/restacked foam from previous day's wind damage</t>
  </si>
  <si>
    <t>• 05/22 &amp; 6/12 &amp; 6/19 OFF days (0 hrs) — confirm authorized; verify no pay/schedule impact</t>
  </si>
  <si>
    <t>• 6/01: only 8 workers logged (72 hrs); rest of days show 9 — Gonzales listed as OFF</t>
  </si>
  <si>
    <t>• 5/16: no weather or temperature recorded — first day; backfill from historical records</t>
  </si>
  <si>
    <t>• ⚠  Daily sum (5,342.75 hrs) exceeds running cumul total (3,483.50 from 7/1 sheet) — reconcile with time cards</t>
  </si>
  <si>
    <t>• July sheets (7/10 onward) show 0 in TOTAL row but crew hours present — possible daily log formatting issue</t>
  </si>
  <si>
    <t>• Multiple spelling errors in weather notes across sheets — recommend standardized entry template</t>
  </si>
  <si>
    <t>Budget: 4,355 hrs</t>
  </si>
  <si>
    <t>Days: 49</t>
  </si>
  <si>
    <t>Period: 5/16–7/21/22</t>
  </si>
  <si>
    <t>Date</t>
  </si>
  <si>
    <t>Day #</t>
  </si>
  <si>
    <t>Workers</t>
  </si>
  <si>
    <t>Daily Hrs</t>
  </si>
  <si>
    <t>Cumul. Hrs</t>
  </si>
  <si>
    <t>Notes / Activity</t>
  </si>
  <si>
    <t>05/17/2022</t>
  </si>
  <si>
    <t>ONE DUMPSTER</t>
  </si>
  <si>
    <t>05/18/2022</t>
  </si>
  <si>
    <t>THREE DUMPSTER</t>
  </si>
  <si>
    <t>05/19/2022</t>
  </si>
  <si>
    <t>4 DUMPSTER</t>
  </si>
  <si>
    <t>05/20/2022</t>
  </si>
  <si>
    <t>DUMPSTER FULL</t>
  </si>
  <si>
    <t>05/21/2022</t>
  </si>
  <si>
    <t>WINDS OVERNIGHT BLOWED FOAM ALL OVER THE PLACE PICKED UP ADDED MOVE CROSSTIES</t>
  </si>
  <si>
    <t>05/22/2022</t>
  </si>
  <si>
    <t>—</t>
  </si>
  <si>
    <t>DAY OFF</t>
  </si>
  <si>
    <t>05/23/2022</t>
  </si>
  <si>
    <t>HAD TO MOVE RESTACK FOAM AGAINST FENCE. LOST A DAY DUE TO HIGH WINDS FROM THE PREVIOUS DAY</t>
  </si>
  <si>
    <t>05/24/2022</t>
  </si>
  <si>
    <t>RAIN OVERNIGHT 1 TO 2 INCHES  PUT FOAM IN DUMPSTER FULL 4  DUMPSTER REMOVAL 9,600 BEFORE RIAIN CAME IN</t>
  </si>
  <si>
    <t>05/25/2022</t>
  </si>
  <si>
    <t>RAIN YESTERDAY 3:00 PM REMOVED INSULATION LOADED 2 DUMPSTER</t>
  </si>
  <si>
    <t>05/26/2022</t>
  </si>
  <si>
    <t>PUMPING WATER  LOADED 2 DUMPSTER REMOVED SAND TUBES</t>
  </si>
  <si>
    <t>05/27/2022</t>
  </si>
  <si>
    <t>ULOADED TRUCK 10:30 TO 12:00  REMOVED SAND TUBES OFF PRIMARY COVER</t>
  </si>
  <si>
    <t>05/28/2022</t>
  </si>
  <si>
    <t>REMOVED SAND TUBES FROM PRIMARY COVER DUST STORM BLOWED IN 3:00</t>
  </si>
  <si>
    <t>05/29/2022</t>
  </si>
  <si>
    <t>REMOVED SAND TUBES FROM PRIMARY COVER WELDED 6" PIPE</t>
  </si>
  <si>
    <t>05/30/2022</t>
  </si>
  <si>
    <t>LOADED 4 DUMPSTERS</t>
  </si>
  <si>
    <t>05/31/2022</t>
  </si>
  <si>
    <t>SET UP PULLEYS + ROPES PUT PIPE ON COVER 3 MEN 6:00 10:30 ,  6 MEN REMOVED NUTS +WASHERS FROM OLD BATTENS 6:00 10:30</t>
  </si>
  <si>
    <t>06/01/2022</t>
  </si>
  <si>
    <t>LOADED 3 DUMPSTER - WINDS GOT BAD - MAYBE HALF A DUMPSTER LEFT TO FILL WITH FOAM -  BUILT 8 SAMPLE PORT</t>
  </si>
  <si>
    <t>06/02/2022</t>
  </si>
  <si>
    <t>LOADED FOAM 1+ HALF DUMPSTERS  PUMPED SOME WATER FOR 3 HOURS CUT NORTH END PRIMARY PULLED AROUND 40 FEET</t>
  </si>
  <si>
    <t>06/03/2022</t>
  </si>
  <si>
    <t>PUMP WATER / WELDED 6" PIPE / LOADED FOAM IN DUMPSTER - LOADING FOAM IS DONE</t>
  </si>
  <si>
    <t>06/04/2022</t>
  </si>
  <si>
    <t>NO RAIN OVERNIGHT BUT WINDS GOT UP TO 45 TO 50 MPH</t>
  </si>
  <si>
    <t>06/05/2022</t>
  </si>
  <si>
    <t>REMOVE OLD BIO GAS PIPE CLEANED 60 MIL. LINER ,TO WELD STRAPS CUT SOME ANCHOR BOLTS</t>
  </si>
  <si>
    <t>06/06/2022</t>
  </si>
  <si>
    <t>CLEANED + WELDED BIOGAS STRAPS (BOTH SIDES) 10' ON CENTER FOR 740 FEET OF 8" BIOGAS PIPE</t>
  </si>
  <si>
    <t>06/07/2022</t>
  </si>
  <si>
    <t>WELDED 740 FT. BIOGAS STRAPS + REMOVED 463 FT. BATTENS + PRESET 463 FT. NEW BATTENS</t>
  </si>
  <si>
    <t>06/08/2022</t>
  </si>
  <si>
    <t>WIND + DUST STORM ROLL IN AT 7:30 TO 9:30 NO RAIN ADD NO STRAPS TO BIOGAS PIPE 600 FT. DONE</t>
  </si>
  <si>
    <t>06/09/2022</t>
  </si>
  <si>
    <t>WELDED BIOGAS STRAPS NO 5 FT. CENTER REMOVED 663 FT. OF OLD BATTENS PRESET 663 FT OF NEW BATTEN</t>
  </si>
  <si>
    <t>06/10/2022</t>
  </si>
  <si>
    <t>REMOVED OLD BATTENS +CUT OLD BOLTS PRESET NEW BATTENS STAGED SANDBAGS + SANDTUBES SET UP WELDER AND TESTED</t>
  </si>
  <si>
    <t>06/11/2022</t>
  </si>
  <si>
    <t>DEPLOYED,  WELDED &amp; TESTED 9 PANELS x 255/ft 100 MIL.LINER</t>
  </si>
  <si>
    <t>06/12/2022</t>
  </si>
  <si>
    <t>06/13/2022</t>
  </si>
  <si>
    <t>DEPLOYED 2 PANELS WIND GOT UP BAG IT DOWN PULLYS AND ROPE IN PLACE WEDED BLANKS IN CROSSES CUTANCHOR BOLTS</t>
  </si>
  <si>
    <t>06/14/2022</t>
  </si>
  <si>
    <t>WELDED 2 PANELS WELDED PULL STRAPS PUT 6 INCH PIPE UNDER LEADING EDGE +WELDED 1 FT. STRAPS 8 FT. CENTER</t>
  </si>
  <si>
    <t>06/15/2022</t>
  </si>
  <si>
    <t>PULLED 13 PANELS OVER POND PUT BATTENS BACK ON 100 MIL.CLEAN UP CUT LINER</t>
  </si>
  <si>
    <t>06/16/2022</t>
  </si>
  <si>
    <t>DEPLOYED 2 PANELS BEFORE WINDS GOT UP DRILLED 820 HOLES FOR BATTENS</t>
  </si>
  <si>
    <t>06/17/2022</t>
  </si>
  <si>
    <t>DEPLOYED 2 PANELS WIND GOT UP BAGGED DOWN WELDED 6" PIPE DRILLED HOLE FOR BATTENS</t>
  </si>
  <si>
    <t>06/18/2022</t>
  </si>
  <si>
    <t>DEPLOYED 5 PANELS + DRILLED 180 HOLES</t>
  </si>
  <si>
    <t>06/19/2022</t>
  </si>
  <si>
    <t>06/20/2022</t>
  </si>
  <si>
    <t>WELDED 2 PANELS + PULL STRAPS  + DRILLED 526 HOLES</t>
  </si>
  <si>
    <t>06/21/2022</t>
  </si>
  <si>
    <t>RAIN OVER NIGHT PUMPED WATER - DRILLED HOLES FOR NEW BATTENS  - WELDED 6" PIPE</t>
  </si>
  <si>
    <t>06/22/2022</t>
  </si>
  <si>
    <t>PULLED LINER  ALL 100 MIL. IS DONE - PUT BATTENS BACK ON ALL THE WAY AROUND CLEAN UP ALL CUT LINER + SANDTUBES ALL THE AROUND POND</t>
  </si>
  <si>
    <t>06/23/2022</t>
  </si>
  <si>
    <t>LAID OUTPATCHES + STRAPS WELDED 165</t>
  </si>
  <si>
    <t>06/24/2022</t>
  </si>
  <si>
    <t>LAID OUT   PATCHES + STRAPS + WELDED 138</t>
  </si>
  <si>
    <t>06/25/2022</t>
  </si>
  <si>
    <t>INSTALLED 8 SAMPLE PORT + 1 6"EMERGENCY VENT ON EAST SIDE 148 FT.</t>
  </si>
  <si>
    <t>06/26/2022</t>
  </si>
  <si>
    <t>303 FT. GASKET +</t>
  </si>
  <si>
    <t>06/27/2022</t>
  </si>
  <si>
    <t>BURNED HOLES IN FOAM + SET GASKET +EPOXY + ANCHOR BOLTS</t>
  </si>
  <si>
    <t>06/28/2022</t>
  </si>
  <si>
    <t>BURNED HOLES 155 PC.OF FOAM SET 330FT. OF GASKET + EPOXY + ANCHOR BOLTS</t>
  </si>
  <si>
    <t>06/29/2022</t>
  </si>
  <si>
    <t>BURNED HOLES IN FOAM 180 PCS 285 FT. GASKET + EPOXY + ANCHOR BOLTS</t>
  </si>
  <si>
    <t>06/30/2022</t>
  </si>
  <si>
    <t>BURNED HOLES IN FOAM (210 HOLES ) SET GASKET + EPOXY + ANCHOR BOLTS</t>
  </si>
  <si>
    <t>07/01/2022</t>
  </si>
  <si>
    <t>4680 sqft  60 mil. Liner 4680 sqft foam will weld tomorrow morning</t>
  </si>
  <si>
    <t>07/02/2022</t>
  </si>
  <si>
    <t>07/03/2022</t>
  </si>
  <si>
    <t>welded 318 ft. put down 20,172 sqft.liner put down 20,172 foam</t>
  </si>
  <si>
    <t>07/04/2022</t>
  </si>
  <si>
    <t>07/05/2022</t>
  </si>
  <si>
    <t>60 MIL. 15,480 SF.  FOAM 15,480 SF. EXT.WELD 1,296 FT.</t>
  </si>
  <si>
    <t>07/06/2022</t>
  </si>
  <si>
    <t>EXT. WELDED 978 FT. PUT 15,420 SF. OF LINER ,15,420 FOAM</t>
  </si>
  <si>
    <t>07/07/2022</t>
  </si>
  <si>
    <t>ext. welded 978 ft.  Put 15,420 of 60 mil. Liner,  15420  of foam</t>
  </si>
  <si>
    <t>07/08/2022</t>
  </si>
  <si>
    <t>EXT. WELDED 978 FT.  DEPOLYED 15,420 LINER  +  15,420 FOAM</t>
  </si>
  <si>
    <t>07/09/2022</t>
  </si>
  <si>
    <t>WXT.WELDED 978 FT.  DEPOLYED 10,080 LINER + 10,080 FOAM</t>
  </si>
  <si>
    <t>07/10/2022</t>
  </si>
  <si>
    <t>EXT. WELDED 652 FT. DEPOLYED 5,040SF. LINER  + 5040SF. FOAM</t>
  </si>
  <si>
    <t>07/11/2022</t>
  </si>
  <si>
    <t>EXT. WELDED 326 FT. 8" PIPE + CROSSES 308 FT. BURN HOLES IN FOAM GAS UNDER COVER</t>
  </si>
  <si>
    <t>07/12/2022</t>
  </si>
  <si>
    <t>WELDED 8" PIPE + CROSSES  AND BURN HOLES IN FOAM</t>
  </si>
  <si>
    <t>07/13/2022</t>
  </si>
  <si>
    <t>RAIN OVER NIGHT PUMPED WATER  WELDED 6"PIPE TO THE CROSSES</t>
  </si>
  <si>
    <t>07/14/2022</t>
  </si>
  <si>
    <t>SET UP OUR BLOWER ,RESET ANCHOR BOLTS THAT DID NOT SET UP CLEAN UP AROUND SITE  BURN HOLES IN FOAM</t>
  </si>
  <si>
    <t>07/15/2022</t>
  </si>
  <si>
    <t>07/16/2022</t>
  </si>
  <si>
    <t>07/17/2022</t>
  </si>
  <si>
    <t>EXT. WELDED 652 FT. DONE</t>
  </si>
  <si>
    <t>07/18/2022</t>
  </si>
  <si>
    <t>07/19/2022</t>
  </si>
  <si>
    <t>CLEAN UP</t>
  </si>
  <si>
    <t>07/20/2022</t>
  </si>
  <si>
    <t>PUT TOOLS IN CONTAINER  INVENTORY</t>
  </si>
  <si>
    <t>TOTALS</t>
  </si>
  <si>
    <t>63 work days</t>
  </si>
  <si>
    <t>Worker Name</t>
  </si>
  <si>
    <t>Role</t>
  </si>
  <si>
    <t>Total Hrs</t>
  </si>
  <si>
    <t>Days Worked</t>
  </si>
  <si>
    <t>Avg Hrs/Day</t>
  </si>
  <si>
    <t>HERNANDEZ, B. (Bonofocio)</t>
  </si>
  <si>
    <t>Tech</t>
  </si>
  <si>
    <t>ROMERO, J. (Jose)</t>
  </si>
  <si>
    <t>*LOPEZ, J. (Jamie)</t>
  </si>
  <si>
    <t>MORGAN, L (Luke)</t>
  </si>
  <si>
    <t>NELCA, D. (Dennis)</t>
  </si>
  <si>
    <t>JOHNSTON, B. (Walter)</t>
  </si>
  <si>
    <t>Superintendent</t>
  </si>
  <si>
    <t>*NIETO, M. (Mario)</t>
  </si>
  <si>
    <t>QC</t>
  </si>
  <si>
    <t>CRUZ, L. (Lucas)</t>
  </si>
  <si>
    <t>Foreman</t>
  </si>
  <si>
    <t>GONZALES, M. (Marcos)</t>
  </si>
  <si>
    <t>Chanhorm Phaysakda</t>
  </si>
  <si>
    <t>Field Tech</t>
  </si>
  <si>
    <t>Vongsavanh Phaysakda</t>
  </si>
  <si>
    <t>Thai Vilaboud</t>
  </si>
  <si>
    <t>Phouangsavanh Thammavongsa</t>
  </si>
  <si>
    <t>Khamphone Sihavong</t>
  </si>
  <si>
    <t>Ketkeo Douanglamany -KK</t>
  </si>
  <si>
    <t>Max Chan Keomany</t>
  </si>
  <si>
    <t>Boualaphanh Phanmaha</t>
  </si>
  <si>
    <t>Khengkham Lovan Siriphom</t>
  </si>
  <si>
    <t>Soudsamay Phouthavong Lovan</t>
  </si>
  <si>
    <t>Phichet Munwong</t>
  </si>
  <si>
    <t>TOTAL</t>
  </si>
  <si>
    <t>20 people</t>
  </si>
  <si>
    <t>⚠ FLAG: Gonzales, M. logged only 2 hrs on 6/20/2022 vs crew avg of 9 hrs. Verify with superintendent and correct log or annotate reason (late start, partial day, etc.)</t>
  </si>
  <si>
    <t>SW CHEESE — Production by Crew / Personnel</t>
  </si>
  <si>
    <t>Crew: 9</t>
  </si>
  <si>
    <t>OVERALL TOTALS</t>
  </si>
  <si>
    <t>Total Hours (Sum of Daily Logs)</t>
  </si>
  <si>
    <t>Total Workers</t>
  </si>
  <si>
    <t>9 core field + 11 extended crew (Lao crew, Days 49–58)</t>
  </si>
  <si>
    <t>Total Jobs</t>
  </si>
  <si>
    <t>1 — SW Cheese (#300155)</t>
  </si>
  <si>
    <t>SW CHEESE — Daily Totals</t>
  </si>
  <si>
    <t>9 core field + 11 extended</t>
  </si>
  <si>
    <t>SW CHEESE — Data Issues, Flags &amp; Improvement Notes</t>
  </si>
  <si>
    <t>Issue Type</t>
  </si>
  <si>
    <t>Description</t>
  </si>
  <si>
    <t>Recommended Action</t>
  </si>
  <si>
    <t>6/20/2022</t>
  </si>
  <si>
    <t>[WARNING] Inconsistency</t>
  </si>
  <si>
    <t>Gonzales, M. logged 2 hrs vs crew avg 9 hrs same day — total shows 74 hrs</t>
  </si>
  <si>
    <t>Verify with superintendent; correct in log or annotate reason (e.g. late start, half day)</t>
  </si>
  <si>
    <t>6/01/2022</t>
  </si>
  <si>
    <t>[WARNING] Missing Hours</t>
  </si>
  <si>
    <t>Gonzales listed as OFF; rest of 8 crew worked 9 hrs — total 72 hrs vs typical 81</t>
  </si>
  <si>
    <t>Confirm absence authorized; check pay records for that date</t>
  </si>
  <si>
    <t>5/16/2022</t>
  </si>
  <si>
    <t>[INFO] Missing Data</t>
  </si>
  <si>
    <t>First day: no temperature or weather conditions recorded in log</t>
  </si>
  <si>
    <t>Backfill from historical weather service for the project ZIP/location</t>
  </si>
  <si>
    <t>5/21/2022</t>
  </si>
  <si>
    <t>[ERROR] Full Weather Delay</t>
  </si>
  <si>
    <t>Crew logged 31.5 hrs as weather delay — winds blew foam overnight; no production</t>
  </si>
  <si>
    <t>Captured. Confirm excluded from production totals for client billing/reporting</t>
  </si>
  <si>
    <t>5/23/2022</t>
  </si>
  <si>
    <t>92.25 hrs logged for moving &amp; restacking foam from prior wind damage — no new production</t>
  </si>
  <si>
    <t>Captured. Flag for contract review if weather delays affect agreed completion schedule</t>
  </si>
  <si>
    <t>7/10–7/21</t>
  </si>
  <si>
    <t>[INFO] TOTAL Row = 0</t>
  </si>
  <si>
    <t>July sheets (after Lao crew ended) show 0 in the TOTAL cell but individual crew hours exist</t>
  </si>
  <si>
    <t>Sum worker hours manually for these dates; daily log template formatting issue</t>
  </si>
  <si>
    <t>Multiple</t>
  </si>
  <si>
    <t>[INFO] Cumulative Fluctuation</t>
  </si>
  <si>
    <t>Cumulative hours column fluctuates in July sheets (drops/rises) — likely formula issue in source file</t>
  </si>
  <si>
    <t>Use the 07/01/22 value (3,483.50) as last reliable cumulative checkpoint; verify against payroll</t>
  </si>
  <si>
    <t>[INFO] Spelling / Typos</t>
  </si>
  <si>
    <t>Weather notes contain typos: BREZZY, CLOUDLY, RIAN, THUNDERSTROMS, NORHT, etc.</t>
  </si>
  <si>
    <t>Use dropdown or template for weather entry in future logs to prevent inconsistencies</t>
  </si>
  <si>
    <t>7/02/2022</t>
  </si>
  <si>
    <t>[INFO] Hours Discrepancy</t>
  </si>
  <si>
    <t>7/02 sheet shows negative cumul change vs prior day — possible data entry error</t>
  </si>
  <si>
    <t>Cross-reference with crew time cards for this date</t>
  </si>
  <si>
    <t>All Sheets</t>
  </si>
  <si>
    <t>[INFO] Hours Total Gap</t>
  </si>
  <si>
    <t>Daily log sum (5,342.75 hrs) vs highest cumul value (3,483.50 from 7/1) — ~1,859 hr gap</t>
  </si>
  <si>
    <t>Review if some daily hours include non-production categories already captured in cumulative or separate line items (weather delay, scope, mob)</t>
  </si>
  <si>
    <t>PROCESS IMPROVEMENT RECOMMENDATIONS</t>
  </si>
  <si>
    <t>Standardize Data Entry</t>
  </si>
  <si>
    <t>Create a digital daily log form with required fields: date, workers, hours-per-worker, weather dropdown, temperature. Eliminates typos, blanks, and inconsistencies seen across 67 sheets.</t>
  </si>
  <si>
    <t>Single Master Table</t>
  </si>
  <si>
    <t>Replace one-tab-per-day with one master table (one row per worker per day). All summaries auto-calculate. No manual aggregation needed.</t>
  </si>
  <si>
    <t>Live Leadership Dashboard</t>
  </si>
  <si>
    <t>Auto-calculated summary tab showing current hours, % complete, and open flags. Gives 10-second executive read without opening 60+ individual sheets.</t>
  </si>
  <si>
    <t>Daily Hours by Date</t>
  </si>
  <si>
    <t>Hours</t>
  </si>
  <si>
    <t>05/16</t>
  </si>
  <si>
    <t>05/17</t>
  </si>
  <si>
    <t>05/18</t>
  </si>
  <si>
    <t>05/19</t>
  </si>
  <si>
    <t>05/20</t>
  </si>
  <si>
    <t>05/21</t>
  </si>
  <si>
    <t>05/23</t>
  </si>
  <si>
    <t>05/24</t>
  </si>
  <si>
    <t>05/25</t>
  </si>
  <si>
    <t>05/26</t>
  </si>
  <si>
    <t>05/27</t>
  </si>
  <si>
    <t>05/28</t>
  </si>
  <si>
    <t>05/29</t>
  </si>
  <si>
    <t>05/30</t>
  </si>
  <si>
    <t>05/31</t>
  </si>
  <si>
    <t>06/01</t>
  </si>
  <si>
    <t>06/02</t>
  </si>
  <si>
    <t>06/03</t>
  </si>
  <si>
    <t>06/04</t>
  </si>
  <si>
    <t>06/05</t>
  </si>
  <si>
    <t>06/06</t>
  </si>
  <si>
    <t>06/07</t>
  </si>
  <si>
    <t>06/08</t>
  </si>
  <si>
    <t>06/09</t>
  </si>
  <si>
    <t>06/10</t>
  </si>
  <si>
    <t>06/11</t>
  </si>
  <si>
    <t>06/13</t>
  </si>
  <si>
    <t>06/14</t>
  </si>
  <si>
    <t>06/15</t>
  </si>
  <si>
    <t>06/16</t>
  </si>
  <si>
    <t>06/17</t>
  </si>
  <si>
    <t>06/18</t>
  </si>
  <si>
    <t>06/20</t>
  </si>
  <si>
    <t>06/21</t>
  </si>
  <si>
    <t>06/22</t>
  </si>
  <si>
    <t>06/23</t>
  </si>
  <si>
    <t>06/24</t>
  </si>
  <si>
    <t>06/25</t>
  </si>
  <si>
    <t>06/26</t>
  </si>
  <si>
    <t>06/27</t>
  </si>
  <si>
    <t>06/28</t>
  </si>
  <si>
    <t>06/29</t>
  </si>
  <si>
    <t>06/30</t>
  </si>
  <si>
    <t>07/01</t>
  </si>
  <si>
    <t>07/02</t>
  </si>
  <si>
    <t>07/03</t>
  </si>
  <si>
    <t>07/05</t>
  </si>
  <si>
    <t>07/06</t>
  </si>
  <si>
    <t>07/07</t>
  </si>
  <si>
    <t>07/08</t>
  </si>
  <si>
    <t>07/09</t>
  </si>
  <si>
    <t>07/10</t>
  </si>
  <si>
    <t>07/11</t>
  </si>
  <si>
    <t>07/12</t>
  </si>
  <si>
    <t>07/13</t>
  </si>
  <si>
    <t>07/14</t>
  </si>
  <si>
    <t>07/15</t>
  </si>
  <si>
    <t>07/16</t>
  </si>
  <si>
    <t>07/17</t>
  </si>
  <si>
    <t>07/18</t>
  </si>
  <si>
    <t>07/19</t>
  </si>
  <si>
    <t>07/20</t>
  </si>
  <si>
    <t>07/21</t>
  </si>
  <si>
    <t>Hours by Crew Member</t>
  </si>
  <si>
    <t>Worker</t>
  </si>
  <si>
    <t>SW CHEESE — Charts &amp;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</si>
</sst>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8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rgb="FFFFFFFF"/>
      <name val="Calibri Light"/>
      <family val="2"/>
      <scheme val="major"/>
    </font>
    <font>
      <sz val="12"/>
      <color rgb="FF1C1C1C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2"/>
      <color rgb="FF1C1C1C"/>
      <name val="Calibri Light"/>
      <family val="2"/>
      <scheme val="major"/>
    </font>
    <font>
      <sz val="12"/>
      <color rgb="FF8B0000"/>
      <name val="Calibri Light"/>
      <family val="2"/>
      <scheme val="major"/>
    </font>
    <font>
      <sz val="12"/>
      <color rgb="FF888888"/>
      <name val="Calibri Light"/>
      <family val="2"/>
      <scheme val="major"/>
    </font>
    <font>
      <b/>
      <sz val="12"/>
      <color rgb="FF8B0000"/>
      <name val="Calibri Light"/>
      <family val="2"/>
      <scheme val="major"/>
    </font>
    <font>
      <sz val="12"/>
      <name val="Calibri Light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1C1C1C"/>
        <bgColor rgb="FF003300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rgb="FFFFF3CD"/>
        <bgColor rgb="FFFFE8E8"/>
      </patternFill>
    </fill>
    <fill>
      <patternFill patternType="solid">
        <fgColor rgb="FFF0F0F0"/>
        <bgColor rgb="FFF5F5F5"/>
      </patternFill>
    </fill>
    <fill>
      <patternFill patternType="solid">
        <fgColor theme="1" tint="0.14999847407452621"/>
        <bgColor rgb="FF003300"/>
      </patternFill>
    </fill>
    <fill>
      <patternFill patternType="solid">
        <fgColor theme="1" tint="0.34998626667073579"/>
        <bgColor rgb="FF333399"/>
      </patternFill>
    </fill>
    <fill>
      <patternFill patternType="solid">
        <fgColor theme="1" tint="0.34998626667073579"/>
        <bgColor rgb="FF003300"/>
      </patternFill>
    </fill>
    <fill>
      <patternFill patternType="solid">
        <fgColor theme="2" tint="-9.9978637043366805E-2"/>
        <bgColor rgb="FFFFE8E8"/>
      </patternFill>
    </fill>
    <fill>
      <patternFill patternType="solid">
        <fgColor rgb="FF8B0000"/>
        <bgColor rgb="FF333399"/>
      </patternFill>
    </fill>
    <fill>
      <patternFill patternType="solid">
        <fgColor rgb="FF1C1C1C"/>
        <bgColor rgb="FF333399"/>
      </patternFill>
    </fill>
    <fill>
      <patternFill patternType="solid">
        <fgColor rgb="FFFFE8E8"/>
        <bgColor rgb="FFF0F0F0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rgb="FFD0D0D0"/>
      </right>
      <top style="thin">
        <color indexed="64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indexed="64"/>
      </top>
      <bottom style="thin">
        <color rgb="FFD0D0D0"/>
      </bottom>
      <diagonal/>
    </border>
    <border>
      <left style="thin">
        <color rgb="FFD0D0D0"/>
      </left>
      <right style="thin">
        <color indexed="64"/>
      </right>
      <top style="thin">
        <color indexed="64"/>
      </top>
      <bottom style="thin">
        <color rgb="FFD0D0D0"/>
      </bottom>
      <diagonal/>
    </border>
    <border>
      <left style="thin">
        <color indexed="64"/>
      </left>
      <right style="thin">
        <color rgb="FFD0D0D0"/>
      </right>
      <top style="thin">
        <color rgb="FFD0D0D0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indexed="64"/>
      </bottom>
      <diagonal/>
    </border>
    <border>
      <left style="thin">
        <color rgb="FFD0D0D0"/>
      </left>
      <right style="thin">
        <color indexed="64"/>
      </right>
      <top style="thin">
        <color rgb="FFD0D0D0"/>
      </top>
      <bottom style="thin">
        <color indexed="64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0D0D0"/>
      </left>
      <right/>
      <top/>
      <bottom/>
      <diagonal/>
    </border>
    <border>
      <left style="medium">
        <color rgb="FFCC8800"/>
      </left>
      <right/>
      <top style="medium">
        <color rgb="FFCC8800"/>
      </top>
      <bottom style="medium">
        <color rgb="FFCC88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/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7" fillId="3" borderId="6" xfId="0" applyFont="1" applyFill="1" applyBorder="1" applyAlignment="1">
      <alignment horizontal="center" vertical="center"/>
    </xf>
    <xf numFmtId="4" fontId="7" fillId="3" borderId="7" xfId="0" applyNumberFormat="1" applyFont="1" applyFill="1" applyBorder="1" applyAlignment="1">
      <alignment horizontal="center" vertical="center"/>
    </xf>
    <xf numFmtId="10" fontId="7" fillId="3" borderId="7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4" fontId="5" fillId="4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4" fontId="5" fillId="3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9" fillId="8" borderId="13" xfId="0" applyFont="1" applyFill="1" applyBorder="1" applyAlignment="1">
      <alignment horizontal="center" vertical="center"/>
    </xf>
    <xf numFmtId="4" fontId="9" fillId="8" borderId="1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5" fillId="4" borderId="13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3" fillId="0" borderId="0" xfId="0" applyFont="1" applyAlignment="1">
      <alignment horizontal="fill" readingOrder="1"/>
    </xf>
    <xf numFmtId="0" fontId="4" fillId="2" borderId="14" xfId="0" applyFont="1" applyFill="1" applyBorder="1" applyAlignment="1">
      <alignment horizontal="fill" vertical="center" readingOrder="1"/>
    </xf>
    <xf numFmtId="0" fontId="5" fillId="4" borderId="13" xfId="0" applyFont="1" applyFill="1" applyBorder="1" applyAlignment="1">
      <alignment horizontal="fill" vertical="center" readingOrder="1"/>
    </xf>
    <xf numFmtId="0" fontId="5" fillId="3" borderId="13" xfId="0" applyFont="1" applyFill="1" applyBorder="1" applyAlignment="1">
      <alignment horizontal="fill" vertical="center" readingOrder="1"/>
    </xf>
    <xf numFmtId="0" fontId="8" fillId="3" borderId="13" xfId="0" applyFont="1" applyFill="1" applyBorder="1" applyAlignment="1">
      <alignment horizontal="fill" vertical="center" readingOrder="1"/>
    </xf>
    <xf numFmtId="0" fontId="9" fillId="8" borderId="13" xfId="0" applyFont="1" applyFill="1" applyBorder="1" applyAlignment="1">
      <alignment horizontal="fill" vertical="center" readingOrder="1"/>
    </xf>
    <xf numFmtId="0" fontId="8" fillId="4" borderId="13" xfId="0" applyFont="1" applyFill="1" applyBorder="1" applyAlignment="1">
      <alignment horizontal="fill" vertical="center" readingOrder="1"/>
    </xf>
    <xf numFmtId="0" fontId="7" fillId="3" borderId="15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4" fontId="4" fillId="2" borderId="14" xfId="0" applyNumberFormat="1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1" fillId="11" borderId="14" xfId="0" applyFont="1" applyFill="1" applyBorder="1" applyAlignment="1">
      <alignment horizontal="center" vertical="center"/>
    </xf>
    <xf numFmtId="1" fontId="5" fillId="4" borderId="13" xfId="0" applyNumberFormat="1" applyFont="1" applyFill="1" applyBorder="1" applyAlignment="1">
      <alignment horizontal="center" vertical="center"/>
    </xf>
    <xf numFmtId="1" fontId="5" fillId="3" borderId="13" xfId="0" applyNumberFormat="1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  <xf numFmtId="4" fontId="5" fillId="12" borderId="13" xfId="0" applyNumberFormat="1" applyFont="1" applyFill="1" applyBorder="1" applyAlignment="1">
      <alignment horizontal="center" vertical="center"/>
    </xf>
    <xf numFmtId="1" fontId="5" fillId="12" borderId="13" xfId="0" applyNumberFormat="1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left" vertical="center"/>
    </xf>
    <xf numFmtId="0" fontId="8" fillId="7" borderId="16" xfId="0" applyFont="1" applyFill="1" applyBorder="1" applyAlignment="1">
      <alignment horizontal="left" vertical="center" wrapText="1"/>
    </xf>
    <xf numFmtId="0" fontId="6" fillId="13" borderId="0" xfId="0" applyFont="1" applyFill="1" applyAlignment="1">
      <alignment horizontal="center" vertical="center"/>
    </xf>
    <xf numFmtId="0" fontId="8" fillId="7" borderId="0" xfId="0" applyFont="1" applyFill="1" applyAlignment="1">
      <alignment vertical="center" wrapText="1"/>
    </xf>
    <xf numFmtId="0" fontId="7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11" fillId="4" borderId="13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 vertical="center" wrapText="1"/>
    </xf>
    <xf numFmtId="0" fontId="5" fillId="15" borderId="13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4" fontId="5" fillId="4" borderId="12" xfId="0" applyNumberFormat="1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3" fillId="6" borderId="0" xfId="0" applyFont="1" applyFill="1"/>
    <xf numFmtId="0" fontId="5" fillId="4" borderId="12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1C1C1C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Daily Production Hours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'[1]Charts &amp; Dashboard'!$C$5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'[1]Charts &amp; Dashboard'!$B$6:$B$68</c:f>
              <c:strCache>
                <c:ptCount val="63"/>
                <c:pt idx="0">
                  <c:v>05/16</c:v>
                </c:pt>
                <c:pt idx="1">
                  <c:v>05/17</c:v>
                </c:pt>
                <c:pt idx="2">
                  <c:v>05/18</c:v>
                </c:pt>
                <c:pt idx="3">
                  <c:v>05/19</c:v>
                </c:pt>
                <c:pt idx="4">
                  <c:v>05/20</c:v>
                </c:pt>
                <c:pt idx="5">
                  <c:v>05/21</c:v>
                </c:pt>
                <c:pt idx="6">
                  <c:v>05/23</c:v>
                </c:pt>
                <c:pt idx="7">
                  <c:v>05/24</c:v>
                </c:pt>
                <c:pt idx="8">
                  <c:v>05/25</c:v>
                </c:pt>
                <c:pt idx="9">
                  <c:v>05/26</c:v>
                </c:pt>
                <c:pt idx="10">
                  <c:v>05/27</c:v>
                </c:pt>
                <c:pt idx="11">
                  <c:v>05/28</c:v>
                </c:pt>
                <c:pt idx="12">
                  <c:v>05/29</c:v>
                </c:pt>
                <c:pt idx="13">
                  <c:v>05/30</c:v>
                </c:pt>
                <c:pt idx="14">
                  <c:v>05/31</c:v>
                </c:pt>
                <c:pt idx="15">
                  <c:v>06/01</c:v>
                </c:pt>
                <c:pt idx="16">
                  <c:v>06/02</c:v>
                </c:pt>
                <c:pt idx="17">
                  <c:v>06/03</c:v>
                </c:pt>
                <c:pt idx="18">
                  <c:v>06/04</c:v>
                </c:pt>
                <c:pt idx="19">
                  <c:v>06/05</c:v>
                </c:pt>
                <c:pt idx="20">
                  <c:v>06/06</c:v>
                </c:pt>
                <c:pt idx="21">
                  <c:v>06/07</c:v>
                </c:pt>
                <c:pt idx="22">
                  <c:v>06/08</c:v>
                </c:pt>
                <c:pt idx="23">
                  <c:v>06/09</c:v>
                </c:pt>
                <c:pt idx="24">
                  <c:v>06/10</c:v>
                </c:pt>
                <c:pt idx="25">
                  <c:v>06/11</c:v>
                </c:pt>
                <c:pt idx="26">
                  <c:v>06/13</c:v>
                </c:pt>
                <c:pt idx="27">
                  <c:v>06/14</c:v>
                </c:pt>
                <c:pt idx="28">
                  <c:v>06/15</c:v>
                </c:pt>
                <c:pt idx="29">
                  <c:v>06/16</c:v>
                </c:pt>
                <c:pt idx="30">
                  <c:v>06/17</c:v>
                </c:pt>
                <c:pt idx="31">
                  <c:v>06/18</c:v>
                </c:pt>
                <c:pt idx="32">
                  <c:v>06/20</c:v>
                </c:pt>
                <c:pt idx="33">
                  <c:v>06/21</c:v>
                </c:pt>
                <c:pt idx="34">
                  <c:v>06/22</c:v>
                </c:pt>
                <c:pt idx="35">
                  <c:v>06/23</c:v>
                </c:pt>
                <c:pt idx="36">
                  <c:v>06/24</c:v>
                </c:pt>
                <c:pt idx="37">
                  <c:v>06/25</c:v>
                </c:pt>
                <c:pt idx="38">
                  <c:v>06/26</c:v>
                </c:pt>
                <c:pt idx="39">
                  <c:v>06/27</c:v>
                </c:pt>
                <c:pt idx="40">
                  <c:v>06/28</c:v>
                </c:pt>
                <c:pt idx="41">
                  <c:v>06/29</c:v>
                </c:pt>
                <c:pt idx="42">
                  <c:v>06/30</c:v>
                </c:pt>
                <c:pt idx="43">
                  <c:v>07/01</c:v>
                </c:pt>
                <c:pt idx="44">
                  <c:v>07/02</c:v>
                </c:pt>
                <c:pt idx="45">
                  <c:v>07/03</c:v>
                </c:pt>
                <c:pt idx="46">
                  <c:v>07/05</c:v>
                </c:pt>
                <c:pt idx="47">
                  <c:v>07/06</c:v>
                </c:pt>
                <c:pt idx="48">
                  <c:v>07/07</c:v>
                </c:pt>
                <c:pt idx="49">
                  <c:v>07/08</c:v>
                </c:pt>
                <c:pt idx="50">
                  <c:v>07/09</c:v>
                </c:pt>
                <c:pt idx="51">
                  <c:v>07/10</c:v>
                </c:pt>
                <c:pt idx="52">
                  <c:v>07/11</c:v>
                </c:pt>
                <c:pt idx="53">
                  <c:v>07/12</c:v>
                </c:pt>
                <c:pt idx="54">
                  <c:v>07/13</c:v>
                </c:pt>
                <c:pt idx="55">
                  <c:v>07/14</c:v>
                </c:pt>
                <c:pt idx="56">
                  <c:v>07/15</c:v>
                </c:pt>
                <c:pt idx="57">
                  <c:v>07/16</c:v>
                </c:pt>
                <c:pt idx="58">
                  <c:v>07/17</c:v>
                </c:pt>
                <c:pt idx="59">
                  <c:v>07/18</c:v>
                </c:pt>
                <c:pt idx="60">
                  <c:v>07/19</c:v>
                </c:pt>
                <c:pt idx="61">
                  <c:v>07/20</c:v>
                </c:pt>
                <c:pt idx="62">
                  <c:v>07/21</c:v>
                </c:pt>
              </c:strCache>
            </c:strRef>
          </c:cat>
          <c:val>
            <c:numRef>
              <c:f>'[1]Charts &amp; Dashboard'!$C$6:$C$68</c:f>
              <c:numCache>
                <c:formatCode>General</c:formatCode>
                <c:ptCount val="63"/>
                <c:pt idx="0">
                  <c:v>94.5</c:v>
                </c:pt>
                <c:pt idx="1">
                  <c:v>63</c:v>
                </c:pt>
                <c:pt idx="2">
                  <c:v>83.25</c:v>
                </c:pt>
                <c:pt idx="3">
                  <c:v>85.5</c:v>
                </c:pt>
                <c:pt idx="4">
                  <c:v>76.5</c:v>
                </c:pt>
                <c:pt idx="5">
                  <c:v>31.5</c:v>
                </c:pt>
                <c:pt idx="6">
                  <c:v>92.25</c:v>
                </c:pt>
                <c:pt idx="7">
                  <c:v>76.5</c:v>
                </c:pt>
                <c:pt idx="8">
                  <c:v>90</c:v>
                </c:pt>
                <c:pt idx="9">
                  <c:v>84</c:v>
                </c:pt>
                <c:pt idx="10">
                  <c:v>92.25</c:v>
                </c:pt>
                <c:pt idx="11">
                  <c:v>76.5</c:v>
                </c:pt>
                <c:pt idx="12">
                  <c:v>72</c:v>
                </c:pt>
                <c:pt idx="13">
                  <c:v>54</c:v>
                </c:pt>
                <c:pt idx="14">
                  <c:v>90</c:v>
                </c:pt>
                <c:pt idx="15">
                  <c:v>72</c:v>
                </c:pt>
                <c:pt idx="16">
                  <c:v>96.75</c:v>
                </c:pt>
                <c:pt idx="17">
                  <c:v>85.5</c:v>
                </c:pt>
                <c:pt idx="18">
                  <c:v>83.25</c:v>
                </c:pt>
                <c:pt idx="19">
                  <c:v>72</c:v>
                </c:pt>
                <c:pt idx="20">
                  <c:v>87.75</c:v>
                </c:pt>
                <c:pt idx="21">
                  <c:v>81</c:v>
                </c:pt>
                <c:pt idx="22">
                  <c:v>81</c:v>
                </c:pt>
                <c:pt idx="23">
                  <c:v>81</c:v>
                </c:pt>
                <c:pt idx="24">
                  <c:v>81</c:v>
                </c:pt>
                <c:pt idx="25">
                  <c:v>72</c:v>
                </c:pt>
                <c:pt idx="26">
                  <c:v>78.75</c:v>
                </c:pt>
                <c:pt idx="27">
                  <c:v>76.5</c:v>
                </c:pt>
                <c:pt idx="28">
                  <c:v>74.25</c:v>
                </c:pt>
                <c:pt idx="29">
                  <c:v>85.5</c:v>
                </c:pt>
                <c:pt idx="30">
                  <c:v>83.25</c:v>
                </c:pt>
                <c:pt idx="31">
                  <c:v>72</c:v>
                </c:pt>
                <c:pt idx="32">
                  <c:v>74</c:v>
                </c:pt>
                <c:pt idx="33">
                  <c:v>83.25</c:v>
                </c:pt>
                <c:pt idx="34">
                  <c:v>81</c:v>
                </c:pt>
                <c:pt idx="35">
                  <c:v>85.5</c:v>
                </c:pt>
                <c:pt idx="36">
                  <c:v>81</c:v>
                </c:pt>
                <c:pt idx="37">
                  <c:v>72</c:v>
                </c:pt>
                <c:pt idx="38">
                  <c:v>72</c:v>
                </c:pt>
                <c:pt idx="39">
                  <c:v>85.5</c:v>
                </c:pt>
                <c:pt idx="40">
                  <c:v>81</c:v>
                </c:pt>
                <c:pt idx="41">
                  <c:v>81</c:v>
                </c:pt>
                <c:pt idx="42">
                  <c:v>81</c:v>
                </c:pt>
                <c:pt idx="43">
                  <c:v>81</c:v>
                </c:pt>
                <c:pt idx="44">
                  <c:v>64</c:v>
                </c:pt>
                <c:pt idx="45">
                  <c:v>160</c:v>
                </c:pt>
                <c:pt idx="46">
                  <c:v>180</c:v>
                </c:pt>
                <c:pt idx="47">
                  <c:v>180</c:v>
                </c:pt>
                <c:pt idx="48">
                  <c:v>171</c:v>
                </c:pt>
                <c:pt idx="49">
                  <c:v>180.5</c:v>
                </c:pt>
                <c:pt idx="50">
                  <c:v>152</c:v>
                </c:pt>
                <c:pt idx="51">
                  <c:v>74.25</c:v>
                </c:pt>
                <c:pt idx="52">
                  <c:v>83.25</c:v>
                </c:pt>
                <c:pt idx="53">
                  <c:v>81</c:v>
                </c:pt>
                <c:pt idx="54">
                  <c:v>81</c:v>
                </c:pt>
                <c:pt idx="55">
                  <c:v>72</c:v>
                </c:pt>
                <c:pt idx="56">
                  <c:v>78.75</c:v>
                </c:pt>
                <c:pt idx="57">
                  <c:v>76.5</c:v>
                </c:pt>
                <c:pt idx="58">
                  <c:v>45</c:v>
                </c:pt>
                <c:pt idx="59">
                  <c:v>72</c:v>
                </c:pt>
                <c:pt idx="60">
                  <c:v>54</c:v>
                </c:pt>
                <c:pt idx="61">
                  <c:v>54</c:v>
                </c:pt>
                <c:pt idx="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A-47F4-8D87-364C98B96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06928"/>
        <c:axId val="78943768"/>
      </c:barChart>
      <c:catAx>
        <c:axId val="930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943768"/>
        <c:crosses val="autoZero"/>
        <c:auto val="1"/>
        <c:lblAlgn val="ctr"/>
        <c:lblOffset val="100"/>
        <c:noMultiLvlLbl val="0"/>
      </c:catAx>
      <c:valAx>
        <c:axId val="78943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069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Total Hours by Crew Member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'[1]Charts &amp; Dashboard'!$C$72</c:f>
              <c:strCache>
                <c:ptCount val="1"/>
                <c:pt idx="0">
                  <c:v>Total Hrs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'[1]Charts &amp; Dashboard'!$B$73:$B$92</c:f>
              <c:strCache>
                <c:ptCount val="20"/>
                <c:pt idx="0">
                  <c:v>HERNANDEZ, B. (Bonofocio)</c:v>
                </c:pt>
                <c:pt idx="1">
                  <c:v>ROMERO, J. (Jose)</c:v>
                </c:pt>
                <c:pt idx="2">
                  <c:v>*LOPEZ, J. (Jamie)</c:v>
                </c:pt>
                <c:pt idx="3">
                  <c:v>MORGAN, L (Luke)</c:v>
                </c:pt>
                <c:pt idx="4">
                  <c:v>NELCA, D. (Dennis)</c:v>
                </c:pt>
                <c:pt idx="5">
                  <c:v>JOHNSTON, B. (Walter)</c:v>
                </c:pt>
                <c:pt idx="6">
                  <c:v>*NIETO, M. (Mario)</c:v>
                </c:pt>
                <c:pt idx="7">
                  <c:v>CRUZ, L. (Lucas)</c:v>
                </c:pt>
                <c:pt idx="8">
                  <c:v>GONZALES, M. (Marcos)</c:v>
                </c:pt>
                <c:pt idx="9">
                  <c:v>Chanhorm Phaysakda</c:v>
                </c:pt>
                <c:pt idx="10">
                  <c:v>Vongsavanh Phaysakda</c:v>
                </c:pt>
                <c:pt idx="11">
                  <c:v>Thai Vilaboud</c:v>
                </c:pt>
                <c:pt idx="12">
                  <c:v>Phouangsavanh Thammavongsa</c:v>
                </c:pt>
                <c:pt idx="13">
                  <c:v>Khamphone Sihavong</c:v>
                </c:pt>
                <c:pt idx="14">
                  <c:v>Ketkeo Douanglamany -KK</c:v>
                </c:pt>
                <c:pt idx="15">
                  <c:v>Max Chan Keomany</c:v>
                </c:pt>
                <c:pt idx="16">
                  <c:v>Boualaphanh Phanmaha</c:v>
                </c:pt>
                <c:pt idx="17">
                  <c:v>Khengkham Lovan Siriphom</c:v>
                </c:pt>
                <c:pt idx="18">
                  <c:v>Soudsamay Phouthavong Lovan</c:v>
                </c:pt>
                <c:pt idx="19">
                  <c:v>Phichet Munwong</c:v>
                </c:pt>
              </c:strCache>
            </c:strRef>
          </c:cat>
          <c:val>
            <c:numRef>
              <c:f>'[1]Charts &amp; Dashboard'!$C$73:$C$92</c:f>
              <c:numCache>
                <c:formatCode>General</c:formatCode>
                <c:ptCount val="20"/>
                <c:pt idx="0">
                  <c:v>535.75</c:v>
                </c:pt>
                <c:pt idx="1">
                  <c:v>535.75</c:v>
                </c:pt>
                <c:pt idx="2">
                  <c:v>535.75</c:v>
                </c:pt>
                <c:pt idx="3">
                  <c:v>535.75</c:v>
                </c:pt>
                <c:pt idx="4">
                  <c:v>535.75</c:v>
                </c:pt>
                <c:pt idx="5">
                  <c:v>532.75</c:v>
                </c:pt>
                <c:pt idx="6">
                  <c:v>532.75</c:v>
                </c:pt>
                <c:pt idx="7">
                  <c:v>527.75</c:v>
                </c:pt>
                <c:pt idx="8">
                  <c:v>519.75</c:v>
                </c:pt>
                <c:pt idx="9">
                  <c:v>52.5</c:v>
                </c:pt>
                <c:pt idx="10">
                  <c:v>52.5</c:v>
                </c:pt>
                <c:pt idx="11">
                  <c:v>52.5</c:v>
                </c:pt>
                <c:pt idx="12">
                  <c:v>52.5</c:v>
                </c:pt>
                <c:pt idx="13">
                  <c:v>52.5</c:v>
                </c:pt>
                <c:pt idx="14">
                  <c:v>52.5</c:v>
                </c:pt>
                <c:pt idx="15">
                  <c:v>52.5</c:v>
                </c:pt>
                <c:pt idx="16">
                  <c:v>52.5</c:v>
                </c:pt>
                <c:pt idx="17">
                  <c:v>52.5</c:v>
                </c:pt>
                <c:pt idx="18">
                  <c:v>52.5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5-4043-AE0C-2BAA6DE15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72908"/>
        <c:axId val="41374178"/>
      </c:barChart>
      <c:catAx>
        <c:axId val="7087290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strike="noStrike" spc="-1">
                    <a:solidFill>
                      <a:srgbClr val="000000"/>
                    </a:solidFill>
                    <a:latin typeface="Calibri"/>
                  </a:rPr>
                  <a:t>Worker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374178"/>
        <c:crosses val="autoZero"/>
        <c:auto val="1"/>
        <c:lblAlgn val="ctr"/>
        <c:lblOffset val="100"/>
        <c:noMultiLvlLbl val="0"/>
      </c:catAx>
      <c:valAx>
        <c:axId val="413741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729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12</xdr:col>
      <xdr:colOff>464502</xdr:colOff>
      <xdr:row>23</xdr:row>
      <xdr:rowOff>172306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29ED3-23FD-4283-A8BE-1C23F18D2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304800</xdr:colOff>
      <xdr:row>25</xdr:row>
      <xdr:rowOff>17929</xdr:rowOff>
    </xdr:from>
    <xdr:to>
      <xdr:col>19</xdr:col>
      <xdr:colOff>79020</xdr:colOff>
      <xdr:row>49</xdr:row>
      <xdr:rowOff>196524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593BD8-44B8-4E6B-838F-CB91AC2FE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SW_Cheese_Production_Report_FINAL.xlsx" TargetMode="External"/><Relationship Id="rId2" Type="http://schemas.openxmlformats.org/officeDocument/2006/relationships/externalLinkPath" Target="file:///C:\Users\user\Downloads\SW_Cheese_Production_Report_FINAL.xlsx" TargetMode="External"/><Relationship Id="rId1" Type="http://schemas.openxmlformats.org/officeDocument/2006/relationships/externalLinkPath" Target="/Users/user/Downloads/SW_Cheese_Production_Report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ecutive Summary"/>
      <sheetName val="Production by Job"/>
      <sheetName val="Production by Crew"/>
      <sheetName val="Daily Totals"/>
      <sheetName val="Issues &amp; Flags"/>
      <sheetName val="Charts &amp; Dashboa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5">
          <cell r="C5" t="str">
            <v>Hours</v>
          </cell>
        </row>
        <row r="6">
          <cell r="B6" t="str">
            <v>05/16</v>
          </cell>
          <cell r="C6">
            <v>94.5</v>
          </cell>
        </row>
        <row r="7">
          <cell r="B7" t="str">
            <v>05/17</v>
          </cell>
          <cell r="C7">
            <v>63</v>
          </cell>
        </row>
        <row r="8">
          <cell r="B8" t="str">
            <v>05/18</v>
          </cell>
          <cell r="C8">
            <v>83.25</v>
          </cell>
        </row>
        <row r="9">
          <cell r="B9" t="str">
            <v>05/19</v>
          </cell>
          <cell r="C9">
            <v>85.5</v>
          </cell>
        </row>
        <row r="10">
          <cell r="B10" t="str">
            <v>05/20</v>
          </cell>
          <cell r="C10">
            <v>76.5</v>
          </cell>
        </row>
        <row r="11">
          <cell r="B11" t="str">
            <v>05/21</v>
          </cell>
          <cell r="C11">
            <v>31.5</v>
          </cell>
        </row>
        <row r="12">
          <cell r="B12" t="str">
            <v>05/23</v>
          </cell>
          <cell r="C12">
            <v>92.25</v>
          </cell>
        </row>
        <row r="13">
          <cell r="B13" t="str">
            <v>05/24</v>
          </cell>
          <cell r="C13">
            <v>76.5</v>
          </cell>
        </row>
        <row r="14">
          <cell r="B14" t="str">
            <v>05/25</v>
          </cell>
          <cell r="C14">
            <v>90</v>
          </cell>
        </row>
        <row r="15">
          <cell r="B15" t="str">
            <v>05/26</v>
          </cell>
          <cell r="C15">
            <v>84</v>
          </cell>
        </row>
        <row r="16">
          <cell r="B16" t="str">
            <v>05/27</v>
          </cell>
          <cell r="C16">
            <v>92.25</v>
          </cell>
        </row>
        <row r="17">
          <cell r="B17" t="str">
            <v>05/28</v>
          </cell>
          <cell r="C17">
            <v>76.5</v>
          </cell>
        </row>
        <row r="18">
          <cell r="B18" t="str">
            <v>05/29</v>
          </cell>
          <cell r="C18">
            <v>72</v>
          </cell>
        </row>
        <row r="19">
          <cell r="B19" t="str">
            <v>05/30</v>
          </cell>
          <cell r="C19">
            <v>54</v>
          </cell>
        </row>
        <row r="20">
          <cell r="B20" t="str">
            <v>05/31</v>
          </cell>
          <cell r="C20">
            <v>90</v>
          </cell>
        </row>
        <row r="21">
          <cell r="B21" t="str">
            <v>06/01</v>
          </cell>
          <cell r="C21">
            <v>72</v>
          </cell>
        </row>
        <row r="22">
          <cell r="B22" t="str">
            <v>06/02</v>
          </cell>
          <cell r="C22">
            <v>96.75</v>
          </cell>
        </row>
        <row r="23">
          <cell r="B23" t="str">
            <v>06/03</v>
          </cell>
          <cell r="C23">
            <v>85.5</v>
          </cell>
        </row>
        <row r="24">
          <cell r="B24" t="str">
            <v>06/04</v>
          </cell>
          <cell r="C24">
            <v>83.25</v>
          </cell>
        </row>
        <row r="25">
          <cell r="B25" t="str">
            <v>06/05</v>
          </cell>
          <cell r="C25">
            <v>72</v>
          </cell>
        </row>
        <row r="26">
          <cell r="B26" t="str">
            <v>06/06</v>
          </cell>
          <cell r="C26">
            <v>87.75</v>
          </cell>
        </row>
        <row r="27">
          <cell r="B27" t="str">
            <v>06/07</v>
          </cell>
          <cell r="C27">
            <v>81</v>
          </cell>
        </row>
        <row r="28">
          <cell r="B28" t="str">
            <v>06/08</v>
          </cell>
          <cell r="C28">
            <v>81</v>
          </cell>
        </row>
        <row r="29">
          <cell r="B29" t="str">
            <v>06/09</v>
          </cell>
          <cell r="C29">
            <v>81</v>
          </cell>
        </row>
        <row r="30">
          <cell r="B30" t="str">
            <v>06/10</v>
          </cell>
          <cell r="C30">
            <v>81</v>
          </cell>
        </row>
        <row r="31">
          <cell r="B31" t="str">
            <v>06/11</v>
          </cell>
          <cell r="C31">
            <v>72</v>
          </cell>
        </row>
        <row r="32">
          <cell r="B32" t="str">
            <v>06/13</v>
          </cell>
          <cell r="C32">
            <v>78.75</v>
          </cell>
        </row>
        <row r="33">
          <cell r="B33" t="str">
            <v>06/14</v>
          </cell>
          <cell r="C33">
            <v>76.5</v>
          </cell>
        </row>
        <row r="34">
          <cell r="B34" t="str">
            <v>06/15</v>
          </cell>
          <cell r="C34">
            <v>74.25</v>
          </cell>
        </row>
        <row r="35">
          <cell r="B35" t="str">
            <v>06/16</v>
          </cell>
          <cell r="C35">
            <v>85.5</v>
          </cell>
        </row>
        <row r="36">
          <cell r="B36" t="str">
            <v>06/17</v>
          </cell>
          <cell r="C36">
            <v>83.25</v>
          </cell>
        </row>
        <row r="37">
          <cell r="B37" t="str">
            <v>06/18</v>
          </cell>
          <cell r="C37">
            <v>72</v>
          </cell>
        </row>
        <row r="38">
          <cell r="B38" t="str">
            <v>06/20</v>
          </cell>
          <cell r="C38">
            <v>74</v>
          </cell>
        </row>
        <row r="39">
          <cell r="B39" t="str">
            <v>06/21</v>
          </cell>
          <cell r="C39">
            <v>83.25</v>
          </cell>
        </row>
        <row r="40">
          <cell r="B40" t="str">
            <v>06/22</v>
          </cell>
          <cell r="C40">
            <v>81</v>
          </cell>
        </row>
        <row r="41">
          <cell r="B41" t="str">
            <v>06/23</v>
          </cell>
          <cell r="C41">
            <v>85.5</v>
          </cell>
        </row>
        <row r="42">
          <cell r="B42" t="str">
            <v>06/24</v>
          </cell>
          <cell r="C42">
            <v>81</v>
          </cell>
        </row>
        <row r="43">
          <cell r="B43" t="str">
            <v>06/25</v>
          </cell>
          <cell r="C43">
            <v>72</v>
          </cell>
        </row>
        <row r="44">
          <cell r="B44" t="str">
            <v>06/26</v>
          </cell>
          <cell r="C44">
            <v>72</v>
          </cell>
        </row>
        <row r="45">
          <cell r="B45" t="str">
            <v>06/27</v>
          </cell>
          <cell r="C45">
            <v>85.5</v>
          </cell>
        </row>
        <row r="46">
          <cell r="B46" t="str">
            <v>06/28</v>
          </cell>
          <cell r="C46">
            <v>81</v>
          </cell>
        </row>
        <row r="47">
          <cell r="B47" t="str">
            <v>06/29</v>
          </cell>
          <cell r="C47">
            <v>81</v>
          </cell>
        </row>
        <row r="48">
          <cell r="B48" t="str">
            <v>06/30</v>
          </cell>
          <cell r="C48">
            <v>81</v>
          </cell>
        </row>
        <row r="49">
          <cell r="B49" t="str">
            <v>07/01</v>
          </cell>
          <cell r="C49">
            <v>81</v>
          </cell>
        </row>
        <row r="50">
          <cell r="B50" t="str">
            <v>07/02</v>
          </cell>
          <cell r="C50">
            <v>64</v>
          </cell>
        </row>
        <row r="51">
          <cell r="B51" t="str">
            <v>07/03</v>
          </cell>
          <cell r="C51">
            <v>160</v>
          </cell>
        </row>
        <row r="52">
          <cell r="B52" t="str">
            <v>07/05</v>
          </cell>
          <cell r="C52">
            <v>180</v>
          </cell>
        </row>
        <row r="53">
          <cell r="B53" t="str">
            <v>07/06</v>
          </cell>
          <cell r="C53">
            <v>180</v>
          </cell>
        </row>
        <row r="54">
          <cell r="B54" t="str">
            <v>07/07</v>
          </cell>
          <cell r="C54">
            <v>171</v>
          </cell>
        </row>
        <row r="55">
          <cell r="B55" t="str">
            <v>07/08</v>
          </cell>
          <cell r="C55">
            <v>180.5</v>
          </cell>
        </row>
        <row r="56">
          <cell r="B56" t="str">
            <v>07/09</v>
          </cell>
          <cell r="C56">
            <v>152</v>
          </cell>
        </row>
        <row r="57">
          <cell r="B57" t="str">
            <v>07/10</v>
          </cell>
          <cell r="C57">
            <v>74.25</v>
          </cell>
        </row>
        <row r="58">
          <cell r="B58" t="str">
            <v>07/11</v>
          </cell>
          <cell r="C58">
            <v>83.25</v>
          </cell>
        </row>
        <row r="59">
          <cell r="B59" t="str">
            <v>07/12</v>
          </cell>
          <cell r="C59">
            <v>81</v>
          </cell>
        </row>
        <row r="60">
          <cell r="B60" t="str">
            <v>07/13</v>
          </cell>
          <cell r="C60">
            <v>81</v>
          </cell>
        </row>
        <row r="61">
          <cell r="B61" t="str">
            <v>07/14</v>
          </cell>
          <cell r="C61">
            <v>72</v>
          </cell>
        </row>
        <row r="62">
          <cell r="B62" t="str">
            <v>07/15</v>
          </cell>
          <cell r="C62">
            <v>78.75</v>
          </cell>
        </row>
        <row r="63">
          <cell r="B63" t="str">
            <v>07/16</v>
          </cell>
          <cell r="C63">
            <v>76.5</v>
          </cell>
        </row>
        <row r="64">
          <cell r="B64" t="str">
            <v>07/17</v>
          </cell>
          <cell r="C64">
            <v>45</v>
          </cell>
        </row>
        <row r="65">
          <cell r="B65" t="str">
            <v>07/18</v>
          </cell>
          <cell r="C65">
            <v>72</v>
          </cell>
        </row>
        <row r="66">
          <cell r="B66" t="str">
            <v>07/19</v>
          </cell>
          <cell r="C66">
            <v>54</v>
          </cell>
        </row>
        <row r="67">
          <cell r="B67" t="str">
            <v>07/20</v>
          </cell>
          <cell r="C67">
            <v>54</v>
          </cell>
        </row>
        <row r="68">
          <cell r="B68" t="str">
            <v>07/21</v>
          </cell>
          <cell r="C68">
            <v>0</v>
          </cell>
        </row>
        <row r="72">
          <cell r="C72" t="str">
            <v>Total Hrs</v>
          </cell>
        </row>
        <row r="73">
          <cell r="B73" t="str">
            <v>HERNANDEZ, B. (Bonofocio)</v>
          </cell>
          <cell r="C73">
            <v>535.75</v>
          </cell>
        </row>
        <row r="74">
          <cell r="B74" t="str">
            <v>ROMERO, J. (Jose)</v>
          </cell>
          <cell r="C74">
            <v>535.75</v>
          </cell>
        </row>
        <row r="75">
          <cell r="B75" t="str">
            <v>*LOPEZ, J. (Jamie)</v>
          </cell>
          <cell r="C75">
            <v>535.75</v>
          </cell>
        </row>
        <row r="76">
          <cell r="B76" t="str">
            <v>MORGAN, L (Luke)</v>
          </cell>
          <cell r="C76">
            <v>535.75</v>
          </cell>
        </row>
        <row r="77">
          <cell r="B77" t="str">
            <v>NELCA, D. (Dennis)</v>
          </cell>
          <cell r="C77">
            <v>535.75</v>
          </cell>
        </row>
        <row r="78">
          <cell r="B78" t="str">
            <v>JOHNSTON, B. (Walter)</v>
          </cell>
          <cell r="C78">
            <v>532.75</v>
          </cell>
        </row>
        <row r="79">
          <cell r="B79" t="str">
            <v>*NIETO, M. (Mario)</v>
          </cell>
          <cell r="C79">
            <v>532.75</v>
          </cell>
        </row>
        <row r="80">
          <cell r="B80" t="str">
            <v>CRUZ, L. (Lucas)</v>
          </cell>
          <cell r="C80">
            <v>527.75</v>
          </cell>
        </row>
        <row r="81">
          <cell r="B81" t="str">
            <v>GONZALES, M. (Marcos)</v>
          </cell>
          <cell r="C81">
            <v>519.75</v>
          </cell>
        </row>
        <row r="82">
          <cell r="B82" t="str">
            <v>Chanhorm Phaysakda</v>
          </cell>
          <cell r="C82">
            <v>52.5</v>
          </cell>
        </row>
        <row r="83">
          <cell r="B83" t="str">
            <v>Vongsavanh Phaysakda</v>
          </cell>
          <cell r="C83">
            <v>52.5</v>
          </cell>
        </row>
        <row r="84">
          <cell r="B84" t="str">
            <v>Thai Vilaboud</v>
          </cell>
          <cell r="C84">
            <v>52.5</v>
          </cell>
        </row>
        <row r="85">
          <cell r="B85" t="str">
            <v>Phouangsavanh Thammavongsa</v>
          </cell>
          <cell r="C85">
            <v>52.5</v>
          </cell>
        </row>
        <row r="86">
          <cell r="B86" t="str">
            <v>Khamphone Sihavong</v>
          </cell>
          <cell r="C86">
            <v>52.5</v>
          </cell>
        </row>
        <row r="87">
          <cell r="B87" t="str">
            <v>Ketkeo Douanglamany -KK</v>
          </cell>
          <cell r="C87">
            <v>52.5</v>
          </cell>
        </row>
        <row r="88">
          <cell r="B88" t="str">
            <v>Max Chan Keomany</v>
          </cell>
          <cell r="C88">
            <v>52.5</v>
          </cell>
        </row>
        <row r="89">
          <cell r="B89" t="str">
            <v>Boualaphanh Phanmaha</v>
          </cell>
          <cell r="C89">
            <v>52.5</v>
          </cell>
        </row>
        <row r="90">
          <cell r="B90" t="str">
            <v>Khengkham Lovan Siriphom</v>
          </cell>
          <cell r="C90">
            <v>52.5</v>
          </cell>
        </row>
        <row r="91">
          <cell r="B91" t="str">
            <v>Soudsamay Phouthavong Lovan</v>
          </cell>
          <cell r="C91">
            <v>52.5</v>
          </cell>
        </row>
        <row r="92">
          <cell r="B92" t="str">
            <v>Phichet Munwong</v>
          </cell>
          <cell r="C92">
            <v>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FB8E-00CE-4C9E-96F7-A1F727871D12}">
  <dimension ref="B1:F33"/>
  <sheetViews>
    <sheetView workbookViewId="0">
      <pane ySplit="1" topLeftCell="A2" activePane="bottomLeft" state="frozen"/>
      <selection pane="bottomLeft" activeCell="G8" sqref="G8"/>
    </sheetView>
  </sheetViews>
  <sheetFormatPr defaultColWidth="16.109375" defaultRowHeight="15.6" x14ac:dyDescent="0.3"/>
  <cols>
    <col min="1" max="1" width="1.5546875" style="1" customWidth="1"/>
    <col min="2" max="2" width="18.5546875" style="1" customWidth="1"/>
    <col min="3" max="5" width="17.77734375" style="1" customWidth="1"/>
    <col min="6" max="6" width="29.109375" style="1" customWidth="1"/>
    <col min="7" max="16384" width="16.109375" style="1"/>
  </cols>
  <sheetData>
    <row r="1" spans="2:6" ht="24" customHeight="1" x14ac:dyDescent="0.3">
      <c r="B1" s="28" t="s">
        <v>1</v>
      </c>
      <c r="C1" s="29"/>
      <c r="D1" s="29"/>
      <c r="E1" s="29"/>
      <c r="F1" s="29"/>
    </row>
    <row r="2" spans="2:6" ht="6" customHeight="1" x14ac:dyDescent="0.3"/>
    <row r="3" spans="2:6" x14ac:dyDescent="0.3">
      <c r="B3" s="30" t="s">
        <v>2</v>
      </c>
      <c r="C3" s="31" t="s">
        <v>3</v>
      </c>
      <c r="D3" s="31" t="s">
        <v>4</v>
      </c>
      <c r="E3" s="31" t="s">
        <v>5</v>
      </c>
      <c r="F3" s="32" t="s">
        <v>6</v>
      </c>
    </row>
    <row r="4" spans="2:6" ht="22.2" customHeight="1" x14ac:dyDescent="0.3">
      <c r="B4" s="13">
        <v>4355</v>
      </c>
      <c r="C4" s="14">
        <v>5342.75</v>
      </c>
      <c r="D4" s="15">
        <v>1.2270000000000001</v>
      </c>
      <c r="E4" s="16">
        <v>63</v>
      </c>
      <c r="F4" s="17" t="s">
        <v>220</v>
      </c>
    </row>
    <row r="5" spans="2:6" ht="6" customHeight="1" x14ac:dyDescent="0.3"/>
    <row r="6" spans="2:6" x14ac:dyDescent="0.3">
      <c r="B6" s="33" t="s">
        <v>7</v>
      </c>
      <c r="C6" s="34"/>
      <c r="D6" s="34"/>
      <c r="E6" s="34"/>
      <c r="F6" s="35"/>
    </row>
    <row r="7" spans="2:6" x14ac:dyDescent="0.3">
      <c r="B7" s="2" t="s">
        <v>8</v>
      </c>
      <c r="C7" s="3"/>
      <c r="D7" s="4"/>
      <c r="E7" s="5" t="s">
        <v>9</v>
      </c>
      <c r="F7" s="3"/>
    </row>
    <row r="8" spans="2:6" x14ac:dyDescent="0.3">
      <c r="B8" s="6" t="s">
        <v>10</v>
      </c>
      <c r="C8" s="7"/>
      <c r="D8" s="8"/>
      <c r="E8" s="6" t="s">
        <v>11</v>
      </c>
      <c r="F8" s="7"/>
    </row>
    <row r="9" spans="2:6" x14ac:dyDescent="0.3">
      <c r="B9" s="2" t="s">
        <v>12</v>
      </c>
      <c r="C9" s="3"/>
      <c r="D9" s="4"/>
      <c r="E9" s="5" t="s">
        <v>13</v>
      </c>
      <c r="F9" s="3"/>
    </row>
    <row r="10" spans="2:6" x14ac:dyDescent="0.3">
      <c r="B10" s="6" t="s">
        <v>14</v>
      </c>
      <c r="C10" s="9"/>
      <c r="D10" s="10"/>
      <c r="E10" s="5">
        <v>49</v>
      </c>
      <c r="F10" s="9"/>
    </row>
    <row r="11" spans="2:6" x14ac:dyDescent="0.3">
      <c r="B11" s="2" t="s">
        <v>15</v>
      </c>
      <c r="C11" s="3"/>
      <c r="D11" s="4"/>
      <c r="E11" s="5" t="s">
        <v>16</v>
      </c>
      <c r="F11" s="3"/>
    </row>
    <row r="12" spans="2:6" x14ac:dyDescent="0.3">
      <c r="B12" s="6" t="s">
        <v>17</v>
      </c>
      <c r="C12" s="9"/>
      <c r="D12" s="10"/>
      <c r="E12" s="5" t="s">
        <v>18</v>
      </c>
      <c r="F12" s="9"/>
    </row>
    <row r="13" spans="2:6" x14ac:dyDescent="0.3">
      <c r="B13" s="2" t="s">
        <v>19</v>
      </c>
      <c r="C13" s="3"/>
      <c r="D13" s="4"/>
      <c r="E13" s="5" t="s">
        <v>20</v>
      </c>
      <c r="F13" s="3"/>
    </row>
    <row r="14" spans="2:6" ht="6" customHeight="1" x14ac:dyDescent="0.3"/>
    <row r="15" spans="2:6" x14ac:dyDescent="0.3">
      <c r="B15" s="33" t="s">
        <v>21</v>
      </c>
      <c r="C15" s="34"/>
      <c r="D15" s="34"/>
      <c r="E15" s="34"/>
      <c r="F15" s="34"/>
    </row>
    <row r="16" spans="2:6" x14ac:dyDescent="0.3">
      <c r="B16" s="2" t="s">
        <v>22</v>
      </c>
      <c r="C16" s="3"/>
      <c r="D16" s="4"/>
      <c r="E16" s="2" t="s">
        <v>23</v>
      </c>
      <c r="F16" s="3"/>
    </row>
    <row r="17" spans="2:6" x14ac:dyDescent="0.3">
      <c r="B17" s="5" t="s">
        <v>24</v>
      </c>
      <c r="C17" s="9"/>
      <c r="D17" s="10"/>
      <c r="E17" s="5" t="s">
        <v>13</v>
      </c>
      <c r="F17" s="9"/>
    </row>
    <row r="18" spans="2:6" x14ac:dyDescent="0.3">
      <c r="B18" s="2" t="s">
        <v>25</v>
      </c>
      <c r="C18" s="3"/>
      <c r="D18" s="4"/>
      <c r="E18" s="2" t="s">
        <v>26</v>
      </c>
      <c r="F18" s="3"/>
    </row>
    <row r="19" spans="2:6" x14ac:dyDescent="0.3">
      <c r="B19" s="5" t="s">
        <v>27</v>
      </c>
      <c r="C19" s="9"/>
      <c r="D19" s="10"/>
      <c r="E19" s="5" t="s">
        <v>28</v>
      </c>
      <c r="F19" s="9"/>
    </row>
    <row r="20" spans="2:6" x14ac:dyDescent="0.3">
      <c r="B20" s="2" t="s">
        <v>29</v>
      </c>
      <c r="C20" s="3"/>
      <c r="D20" s="4"/>
      <c r="E20" s="2" t="s">
        <v>30</v>
      </c>
      <c r="F20" s="3"/>
    </row>
    <row r="21" spans="2:6" x14ac:dyDescent="0.3">
      <c r="B21" s="5" t="s">
        <v>31</v>
      </c>
      <c r="C21" s="9"/>
      <c r="D21" s="10"/>
      <c r="E21" s="5">
        <v>4</v>
      </c>
      <c r="F21" s="9"/>
    </row>
    <row r="22" spans="2:6" x14ac:dyDescent="0.3">
      <c r="B22" s="2" t="s">
        <v>32</v>
      </c>
      <c r="C22" s="3"/>
      <c r="D22" s="4"/>
      <c r="E22" s="2">
        <v>67</v>
      </c>
      <c r="F22" s="3"/>
    </row>
    <row r="23" spans="2:6" x14ac:dyDescent="0.3">
      <c r="B23" s="5" t="s">
        <v>33</v>
      </c>
      <c r="C23" s="9"/>
      <c r="D23" s="10"/>
      <c r="E23" s="5">
        <v>63</v>
      </c>
      <c r="F23" s="9"/>
    </row>
    <row r="24" spans="2:6" ht="6" customHeight="1" x14ac:dyDescent="0.3"/>
    <row r="25" spans="2:6" x14ac:dyDescent="0.3">
      <c r="B25" s="61" t="s">
        <v>34</v>
      </c>
      <c r="C25" s="61"/>
      <c r="D25" s="61"/>
      <c r="E25" s="61"/>
      <c r="F25" s="61"/>
    </row>
    <row r="26" spans="2:6" ht="15.6" customHeight="1" x14ac:dyDescent="0.3">
      <c r="B26" s="11" t="s">
        <v>35</v>
      </c>
      <c r="C26" s="11"/>
      <c r="D26" s="11"/>
      <c r="E26" s="11"/>
      <c r="F26" s="11"/>
    </row>
    <row r="27" spans="2:6" ht="15.6" customHeight="1" x14ac:dyDescent="0.3">
      <c r="B27" s="11" t="s">
        <v>36</v>
      </c>
      <c r="C27" s="11"/>
      <c r="D27" s="11"/>
      <c r="E27" s="11"/>
      <c r="F27" s="11"/>
    </row>
    <row r="28" spans="2:6" x14ac:dyDescent="0.3">
      <c r="B28" s="12" t="s">
        <v>37</v>
      </c>
      <c r="C28" s="12"/>
      <c r="D28" s="12"/>
      <c r="E28" s="12"/>
      <c r="F28" s="12"/>
    </row>
    <row r="29" spans="2:6" x14ac:dyDescent="0.3">
      <c r="B29" s="11" t="s">
        <v>38</v>
      </c>
      <c r="C29" s="11"/>
      <c r="D29" s="11"/>
      <c r="E29" s="11"/>
      <c r="F29" s="11"/>
    </row>
    <row r="30" spans="2:6" x14ac:dyDescent="0.3">
      <c r="B30" s="12" t="s">
        <v>39</v>
      </c>
      <c r="C30" s="12"/>
      <c r="D30" s="12"/>
      <c r="E30" s="12"/>
      <c r="F30" s="12"/>
    </row>
    <row r="31" spans="2:6" x14ac:dyDescent="0.3">
      <c r="B31" s="62" t="s">
        <v>40</v>
      </c>
      <c r="C31" s="62"/>
      <c r="D31" s="62"/>
      <c r="E31" s="62"/>
      <c r="F31" s="62"/>
    </row>
    <row r="32" spans="2:6" x14ac:dyDescent="0.3">
      <c r="B32" s="12" t="s">
        <v>41</v>
      </c>
      <c r="C32" s="12"/>
      <c r="D32" s="12"/>
      <c r="E32" s="12"/>
      <c r="F32" s="12"/>
    </row>
    <row r="33" spans="2:6" x14ac:dyDescent="0.3">
      <c r="B33" s="11" t="s">
        <v>42</v>
      </c>
      <c r="C33" s="11"/>
      <c r="D33" s="11"/>
      <c r="E33" s="11"/>
      <c r="F33" s="11"/>
    </row>
  </sheetData>
  <mergeCells count="12">
    <mergeCell ref="B33:F33"/>
    <mergeCell ref="B27:F27"/>
    <mergeCell ref="B28:F28"/>
    <mergeCell ref="B29:F29"/>
    <mergeCell ref="B30:F30"/>
    <mergeCell ref="B31:F31"/>
    <mergeCell ref="B32:F32"/>
    <mergeCell ref="B1:F1"/>
    <mergeCell ref="B6:F6"/>
    <mergeCell ref="B15:F15"/>
    <mergeCell ref="B25:F25"/>
    <mergeCell ref="B26:F26"/>
  </mergeCells>
  <conditionalFormatting sqref="B7:F13">
    <cfRule type="expression" dxfId="2" priority="1">
      <formula>MOD(ROW(),2)=1</formula>
    </cfRule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AAF6-732C-400C-A4DE-EA4CEFA59BAC}">
  <dimension ref="B1:G74"/>
  <sheetViews>
    <sheetView workbookViewId="0">
      <pane ySplit="1" topLeftCell="A38" activePane="bottomLeft" state="frozen"/>
      <selection pane="bottomLeft" activeCell="G76" sqref="G76"/>
    </sheetView>
  </sheetViews>
  <sheetFormatPr defaultRowHeight="15.6" x14ac:dyDescent="0.3"/>
  <cols>
    <col min="1" max="1" width="1.5546875" style="38" customWidth="1"/>
    <col min="2" max="2" width="17.88671875" style="38" customWidth="1"/>
    <col min="3" max="3" width="11.44140625" style="38" customWidth="1"/>
    <col min="4" max="4" width="14.44140625" style="38" customWidth="1"/>
    <col min="5" max="5" width="13.33203125" style="38" customWidth="1"/>
    <col min="6" max="6" width="17" style="38" customWidth="1"/>
    <col min="7" max="7" width="65.33203125" style="41" customWidth="1"/>
    <col min="8" max="16384" width="8.88671875" style="38"/>
  </cols>
  <sheetData>
    <row r="1" spans="2:7" ht="24" thickBot="1" x14ac:dyDescent="0.35">
      <c r="B1" s="37" t="s">
        <v>0</v>
      </c>
      <c r="C1" s="37"/>
      <c r="D1" s="37"/>
      <c r="E1" s="37"/>
      <c r="F1" s="37"/>
      <c r="G1" s="37"/>
    </row>
    <row r="2" spans="2:7" ht="6" customHeight="1" x14ac:dyDescent="0.3"/>
    <row r="3" spans="2:7" x14ac:dyDescent="0.3">
      <c r="B3" s="18" t="s">
        <v>43</v>
      </c>
      <c r="D3" s="18" t="s">
        <v>212</v>
      </c>
    </row>
    <row r="4" spans="2:7" x14ac:dyDescent="0.3">
      <c r="B4" s="18" t="s">
        <v>44</v>
      </c>
      <c r="D4" s="48" t="s">
        <v>45</v>
      </c>
      <c r="E4" s="49"/>
    </row>
    <row r="5" spans="2:7" ht="6" customHeight="1" x14ac:dyDescent="0.3">
      <c r="B5" s="52"/>
      <c r="D5" s="52"/>
      <c r="E5" s="52"/>
    </row>
    <row r="6" spans="2:7" ht="15" customHeight="1" x14ac:dyDescent="0.3">
      <c r="B6" s="51" t="s">
        <v>46</v>
      </c>
      <c r="C6" s="51" t="s">
        <v>47</v>
      </c>
      <c r="D6" s="51" t="s">
        <v>48</v>
      </c>
      <c r="E6" s="51" t="s">
        <v>49</v>
      </c>
      <c r="F6" s="51" t="s">
        <v>50</v>
      </c>
      <c r="G6" s="53" t="s">
        <v>51</v>
      </c>
    </row>
    <row r="7" spans="2:7" x14ac:dyDescent="0.3">
      <c r="B7" s="20" t="s">
        <v>16</v>
      </c>
      <c r="C7" s="20">
        <v>1</v>
      </c>
      <c r="D7" s="20">
        <v>9</v>
      </c>
      <c r="E7" s="21">
        <v>94.5</v>
      </c>
      <c r="F7" s="21">
        <v>94.5</v>
      </c>
      <c r="G7" s="43"/>
    </row>
    <row r="8" spans="2:7" x14ac:dyDescent="0.3">
      <c r="B8" s="22" t="s">
        <v>52</v>
      </c>
      <c r="C8" s="22">
        <v>2</v>
      </c>
      <c r="D8" s="22">
        <v>9</v>
      </c>
      <c r="E8" s="23">
        <v>63</v>
      </c>
      <c r="F8" s="23">
        <v>157.5</v>
      </c>
      <c r="G8" s="44" t="s">
        <v>53</v>
      </c>
    </row>
    <row r="9" spans="2:7" x14ac:dyDescent="0.3">
      <c r="B9" s="20" t="s">
        <v>54</v>
      </c>
      <c r="C9" s="20">
        <v>3</v>
      </c>
      <c r="D9" s="20">
        <v>9</v>
      </c>
      <c r="E9" s="21">
        <v>83.25</v>
      </c>
      <c r="F9" s="21">
        <v>240.75</v>
      </c>
      <c r="G9" s="43" t="s">
        <v>55</v>
      </c>
    </row>
    <row r="10" spans="2:7" x14ac:dyDescent="0.3">
      <c r="B10" s="22" t="s">
        <v>56</v>
      </c>
      <c r="C10" s="22">
        <v>4</v>
      </c>
      <c r="D10" s="22">
        <v>9</v>
      </c>
      <c r="E10" s="23">
        <v>85.5</v>
      </c>
      <c r="F10" s="23">
        <v>326.25</v>
      </c>
      <c r="G10" s="44" t="s">
        <v>57</v>
      </c>
    </row>
    <row r="11" spans="2:7" x14ac:dyDescent="0.3">
      <c r="B11" s="20" t="s">
        <v>58</v>
      </c>
      <c r="C11" s="20">
        <v>5</v>
      </c>
      <c r="D11" s="20">
        <v>9</v>
      </c>
      <c r="E11" s="21">
        <v>76.5</v>
      </c>
      <c r="F11" s="21">
        <v>402.75</v>
      </c>
      <c r="G11" s="43" t="s">
        <v>59</v>
      </c>
    </row>
    <row r="12" spans="2:7" x14ac:dyDescent="0.3">
      <c r="B12" s="22" t="s">
        <v>60</v>
      </c>
      <c r="C12" s="22">
        <v>6</v>
      </c>
      <c r="D12" s="22">
        <v>9</v>
      </c>
      <c r="E12" s="23">
        <v>31.5</v>
      </c>
      <c r="F12" s="23">
        <v>434.25</v>
      </c>
      <c r="G12" s="45" t="s">
        <v>61</v>
      </c>
    </row>
    <row r="13" spans="2:7" x14ac:dyDescent="0.3">
      <c r="B13" s="25" t="s">
        <v>62</v>
      </c>
      <c r="C13" s="25">
        <v>7</v>
      </c>
      <c r="D13" s="25" t="s">
        <v>63</v>
      </c>
      <c r="E13" s="25" t="s">
        <v>63</v>
      </c>
      <c r="F13" s="26">
        <v>434.25</v>
      </c>
      <c r="G13" s="46" t="s">
        <v>64</v>
      </c>
    </row>
    <row r="14" spans="2:7" x14ac:dyDescent="0.3">
      <c r="B14" s="22" t="s">
        <v>65</v>
      </c>
      <c r="C14" s="22">
        <v>8</v>
      </c>
      <c r="D14" s="22">
        <v>9</v>
      </c>
      <c r="E14" s="23">
        <v>92.25</v>
      </c>
      <c r="F14" s="23">
        <v>526.5</v>
      </c>
      <c r="G14" s="45" t="s">
        <v>66</v>
      </c>
    </row>
    <row r="15" spans="2:7" x14ac:dyDescent="0.3">
      <c r="B15" s="20" t="s">
        <v>67</v>
      </c>
      <c r="C15" s="20">
        <v>9</v>
      </c>
      <c r="D15" s="20">
        <v>9</v>
      </c>
      <c r="E15" s="21">
        <v>76.5</v>
      </c>
      <c r="F15" s="21">
        <v>603</v>
      </c>
      <c r="G15" s="47" t="s">
        <v>68</v>
      </c>
    </row>
    <row r="16" spans="2:7" x14ac:dyDescent="0.3">
      <c r="B16" s="22" t="s">
        <v>69</v>
      </c>
      <c r="C16" s="22">
        <v>10</v>
      </c>
      <c r="D16" s="22">
        <v>9</v>
      </c>
      <c r="E16" s="23">
        <v>90</v>
      </c>
      <c r="F16" s="23">
        <v>693</v>
      </c>
      <c r="G16" s="45" t="s">
        <v>70</v>
      </c>
    </row>
    <row r="17" spans="2:7" x14ac:dyDescent="0.3">
      <c r="B17" s="20" t="s">
        <v>71</v>
      </c>
      <c r="C17" s="20">
        <v>11</v>
      </c>
      <c r="D17" s="20">
        <v>9</v>
      </c>
      <c r="E17" s="21">
        <v>84</v>
      </c>
      <c r="F17" s="21">
        <v>777</v>
      </c>
      <c r="G17" s="43" t="s">
        <v>72</v>
      </c>
    </row>
    <row r="18" spans="2:7" x14ac:dyDescent="0.3">
      <c r="B18" s="22" t="s">
        <v>73</v>
      </c>
      <c r="C18" s="22">
        <v>12</v>
      </c>
      <c r="D18" s="22">
        <v>9</v>
      </c>
      <c r="E18" s="23">
        <v>92.25</v>
      </c>
      <c r="F18" s="23">
        <v>869.25</v>
      </c>
      <c r="G18" s="44" t="s">
        <v>74</v>
      </c>
    </row>
    <row r="19" spans="2:7" x14ac:dyDescent="0.3">
      <c r="B19" s="20" t="s">
        <v>75</v>
      </c>
      <c r="C19" s="20">
        <v>13</v>
      </c>
      <c r="D19" s="20">
        <v>9</v>
      </c>
      <c r="E19" s="21">
        <v>76.5</v>
      </c>
      <c r="F19" s="21">
        <v>945.75</v>
      </c>
      <c r="G19" s="47" t="s">
        <v>76</v>
      </c>
    </row>
    <row r="20" spans="2:7" x14ac:dyDescent="0.3">
      <c r="B20" s="22" t="s">
        <v>77</v>
      </c>
      <c r="C20" s="22">
        <v>14</v>
      </c>
      <c r="D20" s="22">
        <v>9</v>
      </c>
      <c r="E20" s="23">
        <v>72</v>
      </c>
      <c r="F20" s="23">
        <v>1017.75</v>
      </c>
      <c r="G20" s="44" t="s">
        <v>78</v>
      </c>
    </row>
    <row r="21" spans="2:7" x14ac:dyDescent="0.3">
      <c r="B21" s="20" t="s">
        <v>79</v>
      </c>
      <c r="C21" s="20">
        <v>15</v>
      </c>
      <c r="D21" s="20">
        <v>9</v>
      </c>
      <c r="E21" s="21">
        <v>54</v>
      </c>
      <c r="F21" s="21">
        <v>1071.75</v>
      </c>
      <c r="G21" s="43" t="s">
        <v>80</v>
      </c>
    </row>
    <row r="22" spans="2:7" x14ac:dyDescent="0.3">
      <c r="B22" s="22" t="s">
        <v>81</v>
      </c>
      <c r="C22" s="22">
        <v>16</v>
      </c>
      <c r="D22" s="22">
        <v>9</v>
      </c>
      <c r="E22" s="23">
        <v>90</v>
      </c>
      <c r="F22" s="23">
        <v>1161.75</v>
      </c>
      <c r="G22" s="44" t="s">
        <v>82</v>
      </c>
    </row>
    <row r="23" spans="2:7" x14ac:dyDescent="0.3">
      <c r="B23" s="20" t="s">
        <v>83</v>
      </c>
      <c r="C23" s="20">
        <v>17</v>
      </c>
      <c r="D23" s="20">
        <v>8</v>
      </c>
      <c r="E23" s="21">
        <v>72</v>
      </c>
      <c r="F23" s="21">
        <v>1233.75</v>
      </c>
      <c r="G23" s="47" t="s">
        <v>84</v>
      </c>
    </row>
    <row r="24" spans="2:7" x14ac:dyDescent="0.3">
      <c r="B24" s="22" t="s">
        <v>85</v>
      </c>
      <c r="C24" s="22">
        <v>18</v>
      </c>
      <c r="D24" s="22">
        <v>9</v>
      </c>
      <c r="E24" s="23">
        <v>96.75</v>
      </c>
      <c r="F24" s="23">
        <v>1330.5</v>
      </c>
      <c r="G24" s="44" t="s">
        <v>86</v>
      </c>
    </row>
    <row r="25" spans="2:7" x14ac:dyDescent="0.3">
      <c r="B25" s="20" t="s">
        <v>87</v>
      </c>
      <c r="C25" s="20">
        <v>19</v>
      </c>
      <c r="D25" s="20">
        <v>9</v>
      </c>
      <c r="E25" s="21">
        <v>85.5</v>
      </c>
      <c r="F25" s="21">
        <v>1416</v>
      </c>
      <c r="G25" s="43" t="s">
        <v>88</v>
      </c>
    </row>
    <row r="26" spans="2:7" x14ac:dyDescent="0.3">
      <c r="B26" s="22" t="s">
        <v>89</v>
      </c>
      <c r="C26" s="22">
        <v>20</v>
      </c>
      <c r="D26" s="22">
        <v>9</v>
      </c>
      <c r="E26" s="23">
        <v>83.25</v>
      </c>
      <c r="F26" s="23">
        <v>1499.25</v>
      </c>
      <c r="G26" s="45" t="s">
        <v>90</v>
      </c>
    </row>
    <row r="27" spans="2:7" x14ac:dyDescent="0.3">
      <c r="B27" s="20" t="s">
        <v>91</v>
      </c>
      <c r="C27" s="20">
        <v>21</v>
      </c>
      <c r="D27" s="20">
        <v>9</v>
      </c>
      <c r="E27" s="21">
        <v>72</v>
      </c>
      <c r="F27" s="21">
        <v>1571.25</v>
      </c>
      <c r="G27" s="43" t="s">
        <v>92</v>
      </c>
    </row>
    <row r="28" spans="2:7" x14ac:dyDescent="0.3">
      <c r="B28" s="22" t="s">
        <v>93</v>
      </c>
      <c r="C28" s="22">
        <v>22</v>
      </c>
      <c r="D28" s="22">
        <v>9</v>
      </c>
      <c r="E28" s="23">
        <v>87.75</v>
      </c>
      <c r="F28" s="23">
        <v>1659</v>
      </c>
      <c r="G28" s="44" t="s">
        <v>94</v>
      </c>
    </row>
    <row r="29" spans="2:7" x14ac:dyDescent="0.3">
      <c r="B29" s="20" t="s">
        <v>95</v>
      </c>
      <c r="C29" s="20">
        <v>23</v>
      </c>
      <c r="D29" s="20">
        <v>9</v>
      </c>
      <c r="E29" s="21">
        <v>81</v>
      </c>
      <c r="F29" s="21">
        <v>1740</v>
      </c>
      <c r="G29" s="43" t="s">
        <v>96</v>
      </c>
    </row>
    <row r="30" spans="2:7" x14ac:dyDescent="0.3">
      <c r="B30" s="22" t="s">
        <v>97</v>
      </c>
      <c r="C30" s="22">
        <v>24</v>
      </c>
      <c r="D30" s="22">
        <v>9</v>
      </c>
      <c r="E30" s="23">
        <v>81</v>
      </c>
      <c r="F30" s="23">
        <v>1821</v>
      </c>
      <c r="G30" s="45" t="s">
        <v>98</v>
      </c>
    </row>
    <row r="31" spans="2:7" x14ac:dyDescent="0.3">
      <c r="B31" s="20" t="s">
        <v>99</v>
      </c>
      <c r="C31" s="20">
        <v>25</v>
      </c>
      <c r="D31" s="20">
        <v>9</v>
      </c>
      <c r="E31" s="21">
        <v>81</v>
      </c>
      <c r="F31" s="21">
        <v>1902</v>
      </c>
      <c r="G31" s="43" t="s">
        <v>100</v>
      </c>
    </row>
    <row r="32" spans="2:7" x14ac:dyDescent="0.3">
      <c r="B32" s="22" t="s">
        <v>101</v>
      </c>
      <c r="C32" s="22">
        <v>26</v>
      </c>
      <c r="D32" s="22">
        <v>9</v>
      </c>
      <c r="E32" s="23">
        <v>81</v>
      </c>
      <c r="F32" s="23">
        <v>1983</v>
      </c>
      <c r="G32" s="44" t="s">
        <v>102</v>
      </c>
    </row>
    <row r="33" spans="2:7" x14ac:dyDescent="0.3">
      <c r="B33" s="20" t="s">
        <v>103</v>
      </c>
      <c r="C33" s="20">
        <v>27</v>
      </c>
      <c r="D33" s="20">
        <v>9</v>
      </c>
      <c r="E33" s="21">
        <v>72</v>
      </c>
      <c r="F33" s="21">
        <v>2055</v>
      </c>
      <c r="G33" s="43" t="s">
        <v>104</v>
      </c>
    </row>
    <row r="34" spans="2:7" x14ac:dyDescent="0.3">
      <c r="B34" s="25" t="s">
        <v>105</v>
      </c>
      <c r="C34" s="25">
        <v>28</v>
      </c>
      <c r="D34" s="25" t="s">
        <v>63</v>
      </c>
      <c r="E34" s="25" t="s">
        <v>63</v>
      </c>
      <c r="F34" s="26">
        <v>2055</v>
      </c>
      <c r="G34" s="46" t="s">
        <v>64</v>
      </c>
    </row>
    <row r="35" spans="2:7" x14ac:dyDescent="0.3">
      <c r="B35" s="20" t="s">
        <v>106</v>
      </c>
      <c r="C35" s="20">
        <v>29</v>
      </c>
      <c r="D35" s="20">
        <v>9</v>
      </c>
      <c r="E35" s="21">
        <v>78.75</v>
      </c>
      <c r="F35" s="21">
        <v>2133.75</v>
      </c>
      <c r="G35" s="47" t="s">
        <v>107</v>
      </c>
    </row>
    <row r="36" spans="2:7" x14ac:dyDescent="0.3">
      <c r="B36" s="22" t="s">
        <v>108</v>
      </c>
      <c r="C36" s="22">
        <v>30</v>
      </c>
      <c r="D36" s="22">
        <v>9</v>
      </c>
      <c r="E36" s="23">
        <v>76.5</v>
      </c>
      <c r="F36" s="23">
        <v>2210.25</v>
      </c>
      <c r="G36" s="44" t="s">
        <v>109</v>
      </c>
    </row>
    <row r="37" spans="2:7" x14ac:dyDescent="0.3">
      <c r="B37" s="20" t="s">
        <v>110</v>
      </c>
      <c r="C37" s="20">
        <v>31</v>
      </c>
      <c r="D37" s="20">
        <v>9</v>
      </c>
      <c r="E37" s="21">
        <v>74.25</v>
      </c>
      <c r="F37" s="21">
        <v>2284.5</v>
      </c>
      <c r="G37" s="43" t="s">
        <v>111</v>
      </c>
    </row>
    <row r="38" spans="2:7" x14ac:dyDescent="0.3">
      <c r="B38" s="22" t="s">
        <v>112</v>
      </c>
      <c r="C38" s="22">
        <v>32</v>
      </c>
      <c r="D38" s="22">
        <v>9</v>
      </c>
      <c r="E38" s="23">
        <v>85.5</v>
      </c>
      <c r="F38" s="23">
        <v>2370</v>
      </c>
      <c r="G38" s="45" t="s">
        <v>113</v>
      </c>
    </row>
    <row r="39" spans="2:7" x14ac:dyDescent="0.3">
      <c r="B39" s="20" t="s">
        <v>114</v>
      </c>
      <c r="C39" s="20">
        <v>33</v>
      </c>
      <c r="D39" s="20">
        <v>9</v>
      </c>
      <c r="E39" s="21">
        <v>83.25</v>
      </c>
      <c r="F39" s="21">
        <v>2453.25</v>
      </c>
      <c r="G39" s="47" t="s">
        <v>115</v>
      </c>
    </row>
    <row r="40" spans="2:7" x14ac:dyDescent="0.3">
      <c r="B40" s="22" t="s">
        <v>116</v>
      </c>
      <c r="C40" s="22">
        <v>34</v>
      </c>
      <c r="D40" s="22">
        <v>9</v>
      </c>
      <c r="E40" s="23">
        <v>72</v>
      </c>
      <c r="F40" s="23">
        <v>2525.25</v>
      </c>
      <c r="G40" s="44" t="s">
        <v>117</v>
      </c>
    </row>
    <row r="41" spans="2:7" x14ac:dyDescent="0.3">
      <c r="B41" s="25" t="s">
        <v>118</v>
      </c>
      <c r="C41" s="25">
        <v>35</v>
      </c>
      <c r="D41" s="25" t="s">
        <v>63</v>
      </c>
      <c r="E41" s="25" t="s">
        <v>63</v>
      </c>
      <c r="F41" s="26">
        <v>2525.25</v>
      </c>
      <c r="G41" s="46" t="s">
        <v>64</v>
      </c>
    </row>
    <row r="42" spans="2:7" x14ac:dyDescent="0.3">
      <c r="B42" s="22" t="s">
        <v>119</v>
      </c>
      <c r="C42" s="22">
        <v>36</v>
      </c>
      <c r="D42" s="22">
        <v>9</v>
      </c>
      <c r="E42" s="23">
        <v>74</v>
      </c>
      <c r="F42" s="23">
        <v>2599.25</v>
      </c>
      <c r="G42" s="44" t="s">
        <v>120</v>
      </c>
    </row>
    <row r="43" spans="2:7" x14ac:dyDescent="0.3">
      <c r="B43" s="20" t="s">
        <v>121</v>
      </c>
      <c r="C43" s="20">
        <v>37</v>
      </c>
      <c r="D43" s="20">
        <v>9</v>
      </c>
      <c r="E43" s="21">
        <v>83.25</v>
      </c>
      <c r="F43" s="21">
        <v>2682.5</v>
      </c>
      <c r="G43" s="47" t="s">
        <v>122</v>
      </c>
    </row>
    <row r="44" spans="2:7" x14ac:dyDescent="0.3">
      <c r="B44" s="22" t="s">
        <v>123</v>
      </c>
      <c r="C44" s="22">
        <v>38</v>
      </c>
      <c r="D44" s="22">
        <v>9</v>
      </c>
      <c r="E44" s="23">
        <v>81</v>
      </c>
      <c r="F44" s="23">
        <v>2763.5</v>
      </c>
      <c r="G44" s="44" t="s">
        <v>124</v>
      </c>
    </row>
    <row r="45" spans="2:7" x14ac:dyDescent="0.3">
      <c r="B45" s="20" t="s">
        <v>125</v>
      </c>
      <c r="C45" s="20">
        <v>39</v>
      </c>
      <c r="D45" s="20">
        <v>9</v>
      </c>
      <c r="E45" s="21">
        <v>85.5</v>
      </c>
      <c r="F45" s="21">
        <v>2849</v>
      </c>
      <c r="G45" s="43" t="s">
        <v>126</v>
      </c>
    </row>
    <row r="46" spans="2:7" x14ac:dyDescent="0.3">
      <c r="B46" s="22" t="s">
        <v>127</v>
      </c>
      <c r="C46" s="22">
        <v>40</v>
      </c>
      <c r="D46" s="22">
        <v>9</v>
      </c>
      <c r="E46" s="23">
        <v>81</v>
      </c>
      <c r="F46" s="23">
        <v>2930</v>
      </c>
      <c r="G46" s="44" t="s">
        <v>128</v>
      </c>
    </row>
    <row r="47" spans="2:7" x14ac:dyDescent="0.3">
      <c r="B47" s="20" t="s">
        <v>129</v>
      </c>
      <c r="C47" s="20">
        <v>41</v>
      </c>
      <c r="D47" s="20">
        <v>9</v>
      </c>
      <c r="E47" s="21">
        <v>72</v>
      </c>
      <c r="F47" s="21">
        <v>3002</v>
      </c>
      <c r="G47" s="43" t="s">
        <v>130</v>
      </c>
    </row>
    <row r="48" spans="2:7" x14ac:dyDescent="0.3">
      <c r="B48" s="22" t="s">
        <v>131</v>
      </c>
      <c r="C48" s="22">
        <v>42</v>
      </c>
      <c r="D48" s="22">
        <v>9</v>
      </c>
      <c r="E48" s="23">
        <v>72</v>
      </c>
      <c r="F48" s="23">
        <v>3074</v>
      </c>
      <c r="G48" s="44" t="s">
        <v>132</v>
      </c>
    </row>
    <row r="49" spans="2:7" x14ac:dyDescent="0.3">
      <c r="B49" s="20" t="s">
        <v>133</v>
      </c>
      <c r="C49" s="20">
        <v>43</v>
      </c>
      <c r="D49" s="20">
        <v>9</v>
      </c>
      <c r="E49" s="21">
        <v>85.5</v>
      </c>
      <c r="F49" s="21">
        <v>3159.5</v>
      </c>
      <c r="G49" s="43" t="s">
        <v>134</v>
      </c>
    </row>
    <row r="50" spans="2:7" x14ac:dyDescent="0.3">
      <c r="B50" s="22" t="s">
        <v>135</v>
      </c>
      <c r="C50" s="22">
        <v>44</v>
      </c>
      <c r="D50" s="22">
        <v>9</v>
      </c>
      <c r="E50" s="23">
        <v>81</v>
      </c>
      <c r="F50" s="23">
        <v>3240.5</v>
      </c>
      <c r="G50" s="44" t="s">
        <v>136</v>
      </c>
    </row>
    <row r="51" spans="2:7" x14ac:dyDescent="0.3">
      <c r="B51" s="20" t="s">
        <v>137</v>
      </c>
      <c r="C51" s="20">
        <v>45</v>
      </c>
      <c r="D51" s="20">
        <v>9</v>
      </c>
      <c r="E51" s="21">
        <v>81</v>
      </c>
      <c r="F51" s="21">
        <v>3321.5</v>
      </c>
      <c r="G51" s="43" t="s">
        <v>138</v>
      </c>
    </row>
    <row r="52" spans="2:7" x14ac:dyDescent="0.3">
      <c r="B52" s="22" t="s">
        <v>139</v>
      </c>
      <c r="C52" s="22">
        <v>46</v>
      </c>
      <c r="D52" s="22">
        <v>9</v>
      </c>
      <c r="E52" s="23">
        <v>81</v>
      </c>
      <c r="F52" s="23">
        <v>3402.5</v>
      </c>
      <c r="G52" s="44" t="s">
        <v>140</v>
      </c>
    </row>
    <row r="53" spans="2:7" x14ac:dyDescent="0.3">
      <c r="B53" s="20" t="s">
        <v>141</v>
      </c>
      <c r="C53" s="20">
        <v>47</v>
      </c>
      <c r="D53" s="20">
        <v>9</v>
      </c>
      <c r="E53" s="21">
        <v>81</v>
      </c>
      <c r="F53" s="21">
        <v>3483.5</v>
      </c>
      <c r="G53" s="43" t="s">
        <v>142</v>
      </c>
    </row>
    <row r="54" spans="2:7" x14ac:dyDescent="0.3">
      <c r="B54" s="22" t="s">
        <v>143</v>
      </c>
      <c r="C54" s="22">
        <v>48</v>
      </c>
      <c r="D54" s="22">
        <v>8</v>
      </c>
      <c r="E54" s="23">
        <v>64</v>
      </c>
      <c r="F54" s="23">
        <v>3547.5</v>
      </c>
      <c r="G54" s="44"/>
    </row>
    <row r="55" spans="2:7" x14ac:dyDescent="0.3">
      <c r="B55" s="20" t="s">
        <v>144</v>
      </c>
      <c r="C55" s="20">
        <v>49</v>
      </c>
      <c r="D55" s="20">
        <v>20</v>
      </c>
      <c r="E55" s="21">
        <v>160</v>
      </c>
      <c r="F55" s="21">
        <v>3707.5</v>
      </c>
      <c r="G55" s="43" t="s">
        <v>145</v>
      </c>
    </row>
    <row r="56" spans="2:7" x14ac:dyDescent="0.3">
      <c r="B56" s="25" t="s">
        <v>146</v>
      </c>
      <c r="C56" s="25">
        <v>50</v>
      </c>
      <c r="D56" s="25" t="s">
        <v>63</v>
      </c>
      <c r="E56" s="25" t="s">
        <v>63</v>
      </c>
      <c r="F56" s="26">
        <v>3707.5</v>
      </c>
      <c r="G56" s="46" t="s">
        <v>64</v>
      </c>
    </row>
    <row r="57" spans="2:7" x14ac:dyDescent="0.3">
      <c r="B57" s="20" t="s">
        <v>147</v>
      </c>
      <c r="C57" s="20">
        <v>51</v>
      </c>
      <c r="D57" s="20">
        <v>20</v>
      </c>
      <c r="E57" s="21">
        <v>180</v>
      </c>
      <c r="F57" s="21">
        <v>3887.5</v>
      </c>
      <c r="G57" s="43" t="s">
        <v>148</v>
      </c>
    </row>
    <row r="58" spans="2:7" x14ac:dyDescent="0.3">
      <c r="B58" s="22" t="s">
        <v>149</v>
      </c>
      <c r="C58" s="22">
        <v>52</v>
      </c>
      <c r="D58" s="22">
        <v>20</v>
      </c>
      <c r="E58" s="23">
        <v>180</v>
      </c>
      <c r="F58" s="23">
        <v>4067.5</v>
      </c>
      <c r="G58" s="44" t="s">
        <v>150</v>
      </c>
    </row>
    <row r="59" spans="2:7" x14ac:dyDescent="0.3">
      <c r="B59" s="20" t="s">
        <v>151</v>
      </c>
      <c r="C59" s="20">
        <v>53</v>
      </c>
      <c r="D59" s="20">
        <v>19</v>
      </c>
      <c r="E59" s="21">
        <v>171</v>
      </c>
      <c r="F59" s="21">
        <v>4238.5</v>
      </c>
      <c r="G59" s="43" t="s">
        <v>152</v>
      </c>
    </row>
    <row r="60" spans="2:7" x14ac:dyDescent="0.3">
      <c r="B60" s="22" t="s">
        <v>153</v>
      </c>
      <c r="C60" s="22">
        <v>54</v>
      </c>
      <c r="D60" s="22">
        <v>19</v>
      </c>
      <c r="E60" s="23">
        <v>180.5</v>
      </c>
      <c r="F60" s="23">
        <v>4419</v>
      </c>
      <c r="G60" s="44" t="s">
        <v>154</v>
      </c>
    </row>
    <row r="61" spans="2:7" x14ac:dyDescent="0.3">
      <c r="B61" s="20" t="s">
        <v>155</v>
      </c>
      <c r="C61" s="20">
        <v>55</v>
      </c>
      <c r="D61" s="20">
        <v>19</v>
      </c>
      <c r="E61" s="21">
        <v>152</v>
      </c>
      <c r="F61" s="21">
        <v>4571</v>
      </c>
      <c r="G61" s="43" t="s">
        <v>156</v>
      </c>
    </row>
    <row r="62" spans="2:7" x14ac:dyDescent="0.3">
      <c r="B62" s="22" t="s">
        <v>157</v>
      </c>
      <c r="C62" s="22">
        <v>56</v>
      </c>
      <c r="D62" s="22">
        <v>9</v>
      </c>
      <c r="E62" s="23">
        <v>74.25</v>
      </c>
      <c r="F62" s="23">
        <v>4645.25</v>
      </c>
      <c r="G62" s="44" t="s">
        <v>158</v>
      </c>
    </row>
    <row r="63" spans="2:7" x14ac:dyDescent="0.3">
      <c r="B63" s="20" t="s">
        <v>159</v>
      </c>
      <c r="C63" s="20">
        <v>57</v>
      </c>
      <c r="D63" s="20">
        <v>9</v>
      </c>
      <c r="E63" s="21">
        <v>83.25</v>
      </c>
      <c r="F63" s="21">
        <v>4728.5</v>
      </c>
      <c r="G63" s="43" t="s">
        <v>160</v>
      </c>
    </row>
    <row r="64" spans="2:7" x14ac:dyDescent="0.3">
      <c r="B64" s="22" t="s">
        <v>161</v>
      </c>
      <c r="C64" s="22">
        <v>58</v>
      </c>
      <c r="D64" s="22">
        <v>9</v>
      </c>
      <c r="E64" s="23">
        <v>81</v>
      </c>
      <c r="F64" s="23">
        <v>4809.5</v>
      </c>
      <c r="G64" s="44" t="s">
        <v>162</v>
      </c>
    </row>
    <row r="65" spans="2:7" x14ac:dyDescent="0.3">
      <c r="B65" s="20" t="s">
        <v>163</v>
      </c>
      <c r="C65" s="20">
        <v>59</v>
      </c>
      <c r="D65" s="20">
        <v>9</v>
      </c>
      <c r="E65" s="21">
        <v>81</v>
      </c>
      <c r="F65" s="21">
        <v>4890.5</v>
      </c>
      <c r="G65" s="47" t="s">
        <v>164</v>
      </c>
    </row>
    <row r="66" spans="2:7" x14ac:dyDescent="0.3">
      <c r="B66" s="22" t="s">
        <v>165</v>
      </c>
      <c r="C66" s="22">
        <v>60</v>
      </c>
      <c r="D66" s="22">
        <v>9</v>
      </c>
      <c r="E66" s="23">
        <v>72</v>
      </c>
      <c r="F66" s="23">
        <v>4962.5</v>
      </c>
      <c r="G66" s="44" t="s">
        <v>166</v>
      </c>
    </row>
    <row r="67" spans="2:7" x14ac:dyDescent="0.3">
      <c r="B67" s="20" t="s">
        <v>167</v>
      </c>
      <c r="C67" s="20">
        <v>61</v>
      </c>
      <c r="D67" s="20">
        <v>9</v>
      </c>
      <c r="E67" s="21">
        <v>78.75</v>
      </c>
      <c r="F67" s="21">
        <v>5041.25</v>
      </c>
      <c r="G67" s="43"/>
    </row>
    <row r="68" spans="2:7" x14ac:dyDescent="0.3">
      <c r="B68" s="22" t="s">
        <v>168</v>
      </c>
      <c r="C68" s="22">
        <v>62</v>
      </c>
      <c r="D68" s="22">
        <v>9</v>
      </c>
      <c r="E68" s="23">
        <v>76.5</v>
      </c>
      <c r="F68" s="23">
        <v>5117.75</v>
      </c>
      <c r="G68" s="44"/>
    </row>
    <row r="69" spans="2:7" x14ac:dyDescent="0.3">
      <c r="B69" s="20" t="s">
        <v>169</v>
      </c>
      <c r="C69" s="20">
        <v>63</v>
      </c>
      <c r="D69" s="20">
        <v>9</v>
      </c>
      <c r="E69" s="21">
        <v>45</v>
      </c>
      <c r="F69" s="21">
        <v>5162.75</v>
      </c>
      <c r="G69" s="43" t="s">
        <v>170</v>
      </c>
    </row>
    <row r="70" spans="2:7" x14ac:dyDescent="0.3">
      <c r="B70" s="22" t="s">
        <v>171</v>
      </c>
      <c r="C70" s="22">
        <v>64</v>
      </c>
      <c r="D70" s="22">
        <v>9</v>
      </c>
      <c r="E70" s="23">
        <v>72</v>
      </c>
      <c r="F70" s="23">
        <v>5234.75</v>
      </c>
      <c r="G70" s="44"/>
    </row>
    <row r="71" spans="2:7" x14ac:dyDescent="0.3">
      <c r="B71" s="20" t="s">
        <v>172</v>
      </c>
      <c r="C71" s="20">
        <v>65</v>
      </c>
      <c r="D71" s="20">
        <v>9</v>
      </c>
      <c r="E71" s="21">
        <v>54</v>
      </c>
      <c r="F71" s="21">
        <v>5288.75</v>
      </c>
      <c r="G71" s="43" t="s">
        <v>173</v>
      </c>
    </row>
    <row r="72" spans="2:7" x14ac:dyDescent="0.3">
      <c r="B72" s="22" t="s">
        <v>174</v>
      </c>
      <c r="C72" s="22">
        <v>66</v>
      </c>
      <c r="D72" s="22">
        <v>9</v>
      </c>
      <c r="E72" s="23">
        <v>54</v>
      </c>
      <c r="F72" s="23">
        <v>5342.75</v>
      </c>
      <c r="G72" s="44" t="s">
        <v>175</v>
      </c>
    </row>
    <row r="73" spans="2:7" x14ac:dyDescent="0.3">
      <c r="B73" s="20" t="s">
        <v>18</v>
      </c>
      <c r="C73" s="20">
        <v>67</v>
      </c>
      <c r="D73" s="20">
        <v>0</v>
      </c>
      <c r="E73" s="21">
        <v>0</v>
      </c>
      <c r="F73" s="21">
        <v>5342.75</v>
      </c>
      <c r="G73" s="43"/>
    </row>
    <row r="74" spans="2:7" x14ac:dyDescent="0.3">
      <c r="B74" s="19" t="s">
        <v>176</v>
      </c>
      <c r="C74" s="19"/>
      <c r="D74" s="19" t="s">
        <v>177</v>
      </c>
      <c r="E74" s="50">
        <v>5342.75</v>
      </c>
      <c r="F74" s="50">
        <v>5342.75</v>
      </c>
      <c r="G74" s="42"/>
    </row>
  </sheetData>
  <mergeCells count="2">
    <mergeCell ref="B1:G1"/>
    <mergeCell ref="D4:E4"/>
  </mergeCells>
  <conditionalFormatting sqref="B7:G73">
    <cfRule type="expression" dxfId="0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6FE2-B940-4E1C-9C48-EE3CFA4A4669}">
  <dimension ref="B1:F26"/>
  <sheetViews>
    <sheetView workbookViewId="0">
      <pane ySplit="1" topLeftCell="A2" activePane="bottomLeft" state="frozen"/>
      <selection pane="bottomLeft" activeCell="B24" sqref="B24:F24"/>
    </sheetView>
  </sheetViews>
  <sheetFormatPr defaultRowHeight="14.4" x14ac:dyDescent="0.3"/>
  <cols>
    <col min="1" max="1" width="1.5546875" customWidth="1"/>
    <col min="2" max="2" width="29.5546875" customWidth="1"/>
    <col min="3" max="3" width="19.44140625" customWidth="1"/>
    <col min="4" max="4" width="11.6640625" customWidth="1"/>
    <col min="5" max="5" width="18.21875" customWidth="1"/>
    <col min="6" max="6" width="23.77734375" customWidth="1"/>
  </cols>
  <sheetData>
    <row r="1" spans="2:6" ht="24" thickBot="1" x14ac:dyDescent="0.35">
      <c r="B1" s="27" t="s">
        <v>211</v>
      </c>
      <c r="C1" s="27"/>
      <c r="D1" s="27"/>
      <c r="E1" s="27"/>
      <c r="F1" s="27"/>
    </row>
    <row r="2" spans="2:6" ht="6" customHeight="1" x14ac:dyDescent="0.3">
      <c r="B2" s="1"/>
      <c r="C2" s="1"/>
      <c r="D2" s="1"/>
      <c r="E2" s="1"/>
      <c r="F2" s="1"/>
    </row>
    <row r="3" spans="2:6" ht="15.6" x14ac:dyDescent="0.3">
      <c r="B3" s="51" t="s">
        <v>178</v>
      </c>
      <c r="C3" s="51" t="s">
        <v>179</v>
      </c>
      <c r="D3" s="51" t="s">
        <v>180</v>
      </c>
      <c r="E3" s="51" t="s">
        <v>181</v>
      </c>
      <c r="F3" s="51" t="s">
        <v>182</v>
      </c>
    </row>
    <row r="4" spans="2:6" ht="15.6" x14ac:dyDescent="0.3">
      <c r="B4" s="39" t="s">
        <v>183</v>
      </c>
      <c r="C4" s="20" t="s">
        <v>184</v>
      </c>
      <c r="D4" s="21">
        <v>535.75</v>
      </c>
      <c r="E4" s="54">
        <v>62</v>
      </c>
      <c r="F4" s="21">
        <v>8.64</v>
      </c>
    </row>
    <row r="5" spans="2:6" ht="15.6" x14ac:dyDescent="0.3">
      <c r="B5" s="40" t="s">
        <v>185</v>
      </c>
      <c r="C5" s="22" t="s">
        <v>184</v>
      </c>
      <c r="D5" s="23">
        <v>535.75</v>
      </c>
      <c r="E5" s="55">
        <v>62</v>
      </c>
      <c r="F5" s="23">
        <v>8.64</v>
      </c>
    </row>
    <row r="6" spans="2:6" ht="15.6" x14ac:dyDescent="0.3">
      <c r="B6" s="39" t="s">
        <v>186</v>
      </c>
      <c r="C6" s="20" t="s">
        <v>184</v>
      </c>
      <c r="D6" s="21">
        <v>535.75</v>
      </c>
      <c r="E6" s="54">
        <v>62</v>
      </c>
      <c r="F6" s="21">
        <v>8.64</v>
      </c>
    </row>
    <row r="7" spans="2:6" ht="15.6" x14ac:dyDescent="0.3">
      <c r="B7" s="40" t="s">
        <v>187</v>
      </c>
      <c r="C7" s="22" t="s">
        <v>184</v>
      </c>
      <c r="D7" s="23">
        <v>535.75</v>
      </c>
      <c r="E7" s="55">
        <v>62</v>
      </c>
      <c r="F7" s="23">
        <v>8.64</v>
      </c>
    </row>
    <row r="8" spans="2:6" ht="15.6" x14ac:dyDescent="0.3">
      <c r="B8" s="39" t="s">
        <v>188</v>
      </c>
      <c r="C8" s="20" t="s">
        <v>184</v>
      </c>
      <c r="D8" s="21">
        <v>535.75</v>
      </c>
      <c r="E8" s="54">
        <v>62</v>
      </c>
      <c r="F8" s="21">
        <v>8.64</v>
      </c>
    </row>
    <row r="9" spans="2:6" ht="15.6" x14ac:dyDescent="0.3">
      <c r="B9" s="40" t="s">
        <v>189</v>
      </c>
      <c r="C9" s="22" t="s">
        <v>190</v>
      </c>
      <c r="D9" s="23">
        <v>532.75</v>
      </c>
      <c r="E9" s="55">
        <v>62</v>
      </c>
      <c r="F9" s="23">
        <v>8.59</v>
      </c>
    </row>
    <row r="10" spans="2:6" ht="15.6" x14ac:dyDescent="0.3">
      <c r="B10" s="39" t="s">
        <v>191</v>
      </c>
      <c r="C10" s="20" t="s">
        <v>192</v>
      </c>
      <c r="D10" s="21">
        <v>532.75</v>
      </c>
      <c r="E10" s="54">
        <v>62</v>
      </c>
      <c r="F10" s="21">
        <v>8.59</v>
      </c>
    </row>
    <row r="11" spans="2:6" ht="15.6" x14ac:dyDescent="0.3">
      <c r="B11" s="40" t="s">
        <v>193</v>
      </c>
      <c r="C11" s="22" t="s">
        <v>194</v>
      </c>
      <c r="D11" s="23">
        <v>527.75</v>
      </c>
      <c r="E11" s="55">
        <v>61</v>
      </c>
      <c r="F11" s="23">
        <v>8.65</v>
      </c>
    </row>
    <row r="12" spans="2:6" ht="15.6" x14ac:dyDescent="0.3">
      <c r="B12" s="59" t="s">
        <v>195</v>
      </c>
      <c r="C12" s="56" t="s">
        <v>190</v>
      </c>
      <c r="D12" s="57">
        <v>519.75</v>
      </c>
      <c r="E12" s="58">
        <v>61</v>
      </c>
      <c r="F12" s="57">
        <v>8.52</v>
      </c>
    </row>
    <row r="13" spans="2:6" ht="15.6" x14ac:dyDescent="0.3">
      <c r="B13" s="40" t="s">
        <v>196</v>
      </c>
      <c r="C13" s="22" t="s">
        <v>197</v>
      </c>
      <c r="D13" s="23">
        <v>52.5</v>
      </c>
      <c r="E13" s="55">
        <v>6</v>
      </c>
      <c r="F13" s="23">
        <v>8.75</v>
      </c>
    </row>
    <row r="14" spans="2:6" ht="15.6" x14ac:dyDescent="0.3">
      <c r="B14" s="39" t="s">
        <v>198</v>
      </c>
      <c r="C14" s="20" t="s">
        <v>197</v>
      </c>
      <c r="D14" s="21">
        <v>52.5</v>
      </c>
      <c r="E14" s="54">
        <v>6</v>
      </c>
      <c r="F14" s="21">
        <v>8.75</v>
      </c>
    </row>
    <row r="15" spans="2:6" ht="15.6" x14ac:dyDescent="0.3">
      <c r="B15" s="40" t="s">
        <v>199</v>
      </c>
      <c r="C15" s="22" t="s">
        <v>197</v>
      </c>
      <c r="D15" s="23">
        <v>52.5</v>
      </c>
      <c r="E15" s="55">
        <v>6</v>
      </c>
      <c r="F15" s="23">
        <v>8.75</v>
      </c>
    </row>
    <row r="16" spans="2:6" ht="15.6" x14ac:dyDescent="0.3">
      <c r="B16" s="39" t="s">
        <v>200</v>
      </c>
      <c r="C16" s="20" t="s">
        <v>197</v>
      </c>
      <c r="D16" s="21">
        <v>52.5</v>
      </c>
      <c r="E16" s="54">
        <v>6</v>
      </c>
      <c r="F16" s="21">
        <v>8.75</v>
      </c>
    </row>
    <row r="17" spans="2:6" ht="15.6" x14ac:dyDescent="0.3">
      <c r="B17" s="40" t="s">
        <v>201</v>
      </c>
      <c r="C17" s="22" t="s">
        <v>197</v>
      </c>
      <c r="D17" s="23">
        <v>52.5</v>
      </c>
      <c r="E17" s="55">
        <v>6</v>
      </c>
      <c r="F17" s="23">
        <v>8.75</v>
      </c>
    </row>
    <row r="18" spans="2:6" ht="15.6" x14ac:dyDescent="0.3">
      <c r="B18" s="39" t="s">
        <v>202</v>
      </c>
      <c r="C18" s="20" t="s">
        <v>197</v>
      </c>
      <c r="D18" s="21">
        <v>52.5</v>
      </c>
      <c r="E18" s="54">
        <v>6</v>
      </c>
      <c r="F18" s="21">
        <v>8.75</v>
      </c>
    </row>
    <row r="19" spans="2:6" ht="15.6" x14ac:dyDescent="0.3">
      <c r="B19" s="40" t="s">
        <v>203</v>
      </c>
      <c r="C19" s="22" t="s">
        <v>197</v>
      </c>
      <c r="D19" s="23">
        <v>52.5</v>
      </c>
      <c r="E19" s="55">
        <v>6</v>
      </c>
      <c r="F19" s="23">
        <v>8.75</v>
      </c>
    </row>
    <row r="20" spans="2:6" ht="15.6" x14ac:dyDescent="0.3">
      <c r="B20" s="39" t="s">
        <v>204</v>
      </c>
      <c r="C20" s="20" t="s">
        <v>197</v>
      </c>
      <c r="D20" s="21">
        <v>52.5</v>
      </c>
      <c r="E20" s="54">
        <v>6</v>
      </c>
      <c r="F20" s="21">
        <v>8.75</v>
      </c>
    </row>
    <row r="21" spans="2:6" ht="15.6" x14ac:dyDescent="0.3">
      <c r="B21" s="40" t="s">
        <v>205</v>
      </c>
      <c r="C21" s="22" t="s">
        <v>197</v>
      </c>
      <c r="D21" s="23">
        <v>52.5</v>
      </c>
      <c r="E21" s="55">
        <v>6</v>
      </c>
      <c r="F21" s="23">
        <v>8.75</v>
      </c>
    </row>
    <row r="22" spans="2:6" ht="15.6" x14ac:dyDescent="0.3">
      <c r="B22" s="39" t="s">
        <v>206</v>
      </c>
      <c r="C22" s="20" t="s">
        <v>197</v>
      </c>
      <c r="D22" s="21">
        <v>52.5</v>
      </c>
      <c r="E22" s="54">
        <v>6</v>
      </c>
      <c r="F22" s="21">
        <v>8.75</v>
      </c>
    </row>
    <row r="23" spans="2:6" ht="15.6" x14ac:dyDescent="0.3">
      <c r="B23" s="40" t="s">
        <v>207</v>
      </c>
      <c r="C23" s="22" t="s">
        <v>197</v>
      </c>
      <c r="D23" s="23">
        <v>26</v>
      </c>
      <c r="E23" s="55">
        <v>3</v>
      </c>
      <c r="F23" s="23">
        <v>8.67</v>
      </c>
    </row>
    <row r="24" spans="2:6" ht="15.6" x14ac:dyDescent="0.3">
      <c r="B24" s="19" t="s">
        <v>208</v>
      </c>
      <c r="C24" s="19" t="s">
        <v>209</v>
      </c>
      <c r="D24" s="50">
        <v>5342.75</v>
      </c>
      <c r="E24" s="19"/>
      <c r="F24" s="19"/>
    </row>
    <row r="25" spans="2:6" ht="16.2" thickBot="1" x14ac:dyDescent="0.35">
      <c r="B25" s="1"/>
      <c r="C25" s="1"/>
      <c r="D25" s="1"/>
      <c r="E25" s="1"/>
      <c r="F25" s="1"/>
    </row>
    <row r="26" spans="2:6" ht="16.2" thickBot="1" x14ac:dyDescent="0.35">
      <c r="B26" s="60" t="s">
        <v>210</v>
      </c>
      <c r="C26" s="60"/>
      <c r="D26" s="60"/>
      <c r="E26" s="60"/>
      <c r="F26" s="60"/>
    </row>
  </sheetData>
  <mergeCells count="2">
    <mergeCell ref="B1:F1"/>
    <mergeCell ref="B26:F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ADA2-9C60-46A4-80D9-2559474053EA}">
  <dimension ref="B1:F78"/>
  <sheetViews>
    <sheetView workbookViewId="0">
      <pane ySplit="1" topLeftCell="A2" activePane="bottomLeft" state="frozen"/>
      <selection pane="bottomLeft" sqref="A1:A1048576"/>
    </sheetView>
  </sheetViews>
  <sheetFormatPr defaultRowHeight="15.6" x14ac:dyDescent="0.3"/>
  <cols>
    <col min="1" max="1" width="1" style="1" customWidth="1"/>
    <col min="2" max="2" width="16.88671875" style="1" customWidth="1"/>
    <col min="3" max="3" width="8.88671875" style="1"/>
    <col min="4" max="4" width="13.77734375" style="1" customWidth="1"/>
    <col min="5" max="5" width="13.44140625" style="1" customWidth="1"/>
    <col min="6" max="6" width="18.21875" style="1" customWidth="1"/>
    <col min="7" max="16384" width="8.88671875" style="1"/>
  </cols>
  <sheetData>
    <row r="1" spans="2:6" ht="24" thickBot="1" x14ac:dyDescent="0.35">
      <c r="B1" s="27" t="s">
        <v>219</v>
      </c>
      <c r="C1" s="27"/>
      <c r="D1" s="27"/>
      <c r="E1" s="27"/>
      <c r="F1" s="27"/>
    </row>
    <row r="2" spans="2:6" ht="6" customHeight="1" x14ac:dyDescent="0.3"/>
    <row r="3" spans="2:6" x14ac:dyDescent="0.3">
      <c r="B3" s="51" t="s">
        <v>46</v>
      </c>
      <c r="C3" s="51" t="s">
        <v>47</v>
      </c>
      <c r="D3" s="51" t="s">
        <v>48</v>
      </c>
      <c r="E3" s="51" t="s">
        <v>49</v>
      </c>
      <c r="F3" s="51" t="s">
        <v>50</v>
      </c>
    </row>
    <row r="4" spans="2:6" x14ac:dyDescent="0.3">
      <c r="B4" s="71" t="s">
        <v>16</v>
      </c>
      <c r="C4" s="20">
        <v>1</v>
      </c>
      <c r="D4" s="20">
        <v>9</v>
      </c>
      <c r="E4" s="21">
        <v>94.5</v>
      </c>
      <c r="F4" s="21">
        <v>94.5</v>
      </c>
    </row>
    <row r="5" spans="2:6" x14ac:dyDescent="0.3">
      <c r="B5" s="22" t="s">
        <v>52</v>
      </c>
      <c r="C5" s="22">
        <v>2</v>
      </c>
      <c r="D5" s="22">
        <v>9</v>
      </c>
      <c r="E5" s="23">
        <v>63</v>
      </c>
      <c r="F5" s="23">
        <v>157.5</v>
      </c>
    </row>
    <row r="6" spans="2:6" x14ac:dyDescent="0.3">
      <c r="B6" s="20" t="s">
        <v>54</v>
      </c>
      <c r="C6" s="20">
        <v>3</v>
      </c>
      <c r="D6" s="20">
        <v>9</v>
      </c>
      <c r="E6" s="21">
        <v>83.25</v>
      </c>
      <c r="F6" s="21">
        <v>240.75</v>
      </c>
    </row>
    <row r="7" spans="2:6" x14ac:dyDescent="0.3">
      <c r="B7" s="22" t="s">
        <v>56</v>
      </c>
      <c r="C7" s="22">
        <v>4</v>
      </c>
      <c r="D7" s="22">
        <v>9</v>
      </c>
      <c r="E7" s="23">
        <v>85.5</v>
      </c>
      <c r="F7" s="23">
        <v>326.25</v>
      </c>
    </row>
    <row r="8" spans="2:6" x14ac:dyDescent="0.3">
      <c r="B8" s="20" t="s">
        <v>58</v>
      </c>
      <c r="C8" s="20">
        <v>5</v>
      </c>
      <c r="D8" s="20">
        <v>9</v>
      </c>
      <c r="E8" s="21">
        <v>76.5</v>
      </c>
      <c r="F8" s="21">
        <v>402.75</v>
      </c>
    </row>
    <row r="9" spans="2:6" x14ac:dyDescent="0.3">
      <c r="B9" s="22" t="s">
        <v>60</v>
      </c>
      <c r="C9" s="22">
        <v>6</v>
      </c>
      <c r="D9" s="22">
        <v>9</v>
      </c>
      <c r="E9" s="23">
        <v>31.5</v>
      </c>
      <c r="F9" s="23">
        <v>434.25</v>
      </c>
    </row>
    <row r="10" spans="2:6" x14ac:dyDescent="0.3">
      <c r="B10" s="25" t="s">
        <v>62</v>
      </c>
      <c r="C10" s="25">
        <v>7</v>
      </c>
      <c r="D10" s="25" t="s">
        <v>63</v>
      </c>
      <c r="E10" s="25" t="s">
        <v>63</v>
      </c>
      <c r="F10" s="26">
        <v>434.25</v>
      </c>
    </row>
    <row r="11" spans="2:6" x14ac:dyDescent="0.3">
      <c r="B11" s="22" t="s">
        <v>65</v>
      </c>
      <c r="C11" s="22">
        <v>8</v>
      </c>
      <c r="D11" s="22">
        <v>9</v>
      </c>
      <c r="E11" s="23">
        <v>92.25</v>
      </c>
      <c r="F11" s="23">
        <v>526.5</v>
      </c>
    </row>
    <row r="12" spans="2:6" x14ac:dyDescent="0.3">
      <c r="B12" s="20" t="s">
        <v>67</v>
      </c>
      <c r="C12" s="20">
        <v>9</v>
      </c>
      <c r="D12" s="20">
        <v>9</v>
      </c>
      <c r="E12" s="21">
        <v>76.5</v>
      </c>
      <c r="F12" s="21">
        <v>603</v>
      </c>
    </row>
    <row r="13" spans="2:6" x14ac:dyDescent="0.3">
      <c r="B13" s="22" t="s">
        <v>69</v>
      </c>
      <c r="C13" s="22">
        <v>10</v>
      </c>
      <c r="D13" s="22">
        <v>9</v>
      </c>
      <c r="E13" s="23">
        <v>90</v>
      </c>
      <c r="F13" s="23">
        <v>693</v>
      </c>
    </row>
    <row r="14" spans="2:6" x14ac:dyDescent="0.3">
      <c r="B14" s="20" t="s">
        <v>71</v>
      </c>
      <c r="C14" s="20">
        <v>11</v>
      </c>
      <c r="D14" s="20">
        <v>9</v>
      </c>
      <c r="E14" s="21">
        <v>84</v>
      </c>
      <c r="F14" s="21">
        <v>777</v>
      </c>
    </row>
    <row r="15" spans="2:6" x14ac:dyDescent="0.3">
      <c r="B15" s="22" t="s">
        <v>73</v>
      </c>
      <c r="C15" s="22">
        <v>12</v>
      </c>
      <c r="D15" s="22">
        <v>9</v>
      </c>
      <c r="E15" s="23">
        <v>92.25</v>
      </c>
      <c r="F15" s="23">
        <v>869.25</v>
      </c>
    </row>
    <row r="16" spans="2:6" x14ac:dyDescent="0.3">
      <c r="B16" s="20" t="s">
        <v>75</v>
      </c>
      <c r="C16" s="20">
        <v>13</v>
      </c>
      <c r="D16" s="20">
        <v>9</v>
      </c>
      <c r="E16" s="21">
        <v>76.5</v>
      </c>
      <c r="F16" s="21">
        <v>945.75</v>
      </c>
    </row>
    <row r="17" spans="2:6" x14ac:dyDescent="0.3">
      <c r="B17" s="22" t="s">
        <v>77</v>
      </c>
      <c r="C17" s="22">
        <v>14</v>
      </c>
      <c r="D17" s="22">
        <v>9</v>
      </c>
      <c r="E17" s="23">
        <v>72</v>
      </c>
      <c r="F17" s="23">
        <v>1017.75</v>
      </c>
    </row>
    <row r="18" spans="2:6" x14ac:dyDescent="0.3">
      <c r="B18" s="20" t="s">
        <v>79</v>
      </c>
      <c r="C18" s="20">
        <v>15</v>
      </c>
      <c r="D18" s="20">
        <v>9</v>
      </c>
      <c r="E18" s="21">
        <v>54</v>
      </c>
      <c r="F18" s="21">
        <v>1071.75</v>
      </c>
    </row>
    <row r="19" spans="2:6" x14ac:dyDescent="0.3">
      <c r="B19" s="22" t="s">
        <v>81</v>
      </c>
      <c r="C19" s="22">
        <v>16</v>
      </c>
      <c r="D19" s="22">
        <v>9</v>
      </c>
      <c r="E19" s="23">
        <v>90</v>
      </c>
      <c r="F19" s="23">
        <v>1161.75</v>
      </c>
    </row>
    <row r="20" spans="2:6" x14ac:dyDescent="0.3">
      <c r="B20" s="20" t="s">
        <v>83</v>
      </c>
      <c r="C20" s="20">
        <v>17</v>
      </c>
      <c r="D20" s="20">
        <v>8</v>
      </c>
      <c r="E20" s="21">
        <v>72</v>
      </c>
      <c r="F20" s="21">
        <v>1233.75</v>
      </c>
    </row>
    <row r="21" spans="2:6" x14ac:dyDescent="0.3">
      <c r="B21" s="22" t="s">
        <v>85</v>
      </c>
      <c r="C21" s="22">
        <v>18</v>
      </c>
      <c r="D21" s="22">
        <v>9</v>
      </c>
      <c r="E21" s="23">
        <v>96.75</v>
      </c>
      <c r="F21" s="23">
        <v>1330.5</v>
      </c>
    </row>
    <row r="22" spans="2:6" x14ac:dyDescent="0.3">
      <c r="B22" s="20" t="s">
        <v>87</v>
      </c>
      <c r="C22" s="20">
        <v>19</v>
      </c>
      <c r="D22" s="20">
        <v>9</v>
      </c>
      <c r="E22" s="21">
        <v>85.5</v>
      </c>
      <c r="F22" s="21">
        <v>1416</v>
      </c>
    </row>
    <row r="23" spans="2:6" x14ac:dyDescent="0.3">
      <c r="B23" s="22" t="s">
        <v>89</v>
      </c>
      <c r="C23" s="22">
        <v>20</v>
      </c>
      <c r="D23" s="22">
        <v>9</v>
      </c>
      <c r="E23" s="23">
        <v>83.25</v>
      </c>
      <c r="F23" s="23">
        <v>1499.25</v>
      </c>
    </row>
    <row r="24" spans="2:6" x14ac:dyDescent="0.3">
      <c r="B24" s="20" t="s">
        <v>91</v>
      </c>
      <c r="C24" s="20">
        <v>21</v>
      </c>
      <c r="D24" s="20">
        <v>9</v>
      </c>
      <c r="E24" s="21">
        <v>72</v>
      </c>
      <c r="F24" s="21">
        <v>1571.25</v>
      </c>
    </row>
    <row r="25" spans="2:6" x14ac:dyDescent="0.3">
      <c r="B25" s="22" t="s">
        <v>93</v>
      </c>
      <c r="C25" s="22">
        <v>22</v>
      </c>
      <c r="D25" s="22">
        <v>9</v>
      </c>
      <c r="E25" s="23">
        <v>87.75</v>
      </c>
      <c r="F25" s="23">
        <v>1659</v>
      </c>
    </row>
    <row r="26" spans="2:6" x14ac:dyDescent="0.3">
      <c r="B26" s="20" t="s">
        <v>95</v>
      </c>
      <c r="C26" s="20">
        <v>23</v>
      </c>
      <c r="D26" s="20">
        <v>9</v>
      </c>
      <c r="E26" s="21">
        <v>81</v>
      </c>
      <c r="F26" s="21">
        <v>1740</v>
      </c>
    </row>
    <row r="27" spans="2:6" x14ac:dyDescent="0.3">
      <c r="B27" s="22" t="s">
        <v>97</v>
      </c>
      <c r="C27" s="22">
        <v>24</v>
      </c>
      <c r="D27" s="22">
        <v>9</v>
      </c>
      <c r="E27" s="23">
        <v>81</v>
      </c>
      <c r="F27" s="23">
        <v>1821</v>
      </c>
    </row>
    <row r="28" spans="2:6" x14ac:dyDescent="0.3">
      <c r="B28" s="20" t="s">
        <v>99</v>
      </c>
      <c r="C28" s="20">
        <v>25</v>
      </c>
      <c r="D28" s="20">
        <v>9</v>
      </c>
      <c r="E28" s="21">
        <v>81</v>
      </c>
      <c r="F28" s="21">
        <v>1902</v>
      </c>
    </row>
    <row r="29" spans="2:6" x14ac:dyDescent="0.3">
      <c r="B29" s="22" t="s">
        <v>101</v>
      </c>
      <c r="C29" s="22">
        <v>26</v>
      </c>
      <c r="D29" s="22">
        <v>9</v>
      </c>
      <c r="E29" s="23">
        <v>81</v>
      </c>
      <c r="F29" s="23">
        <v>1983</v>
      </c>
    </row>
    <row r="30" spans="2:6" x14ac:dyDescent="0.3">
      <c r="B30" s="20" t="s">
        <v>103</v>
      </c>
      <c r="C30" s="20">
        <v>27</v>
      </c>
      <c r="D30" s="20">
        <v>9</v>
      </c>
      <c r="E30" s="21">
        <v>72</v>
      </c>
      <c r="F30" s="21">
        <v>2055</v>
      </c>
    </row>
    <row r="31" spans="2:6" x14ac:dyDescent="0.3">
      <c r="B31" s="25" t="s">
        <v>105</v>
      </c>
      <c r="C31" s="25">
        <v>28</v>
      </c>
      <c r="D31" s="25" t="s">
        <v>63</v>
      </c>
      <c r="E31" s="25" t="s">
        <v>63</v>
      </c>
      <c r="F31" s="26">
        <v>2055</v>
      </c>
    </row>
    <row r="32" spans="2:6" x14ac:dyDescent="0.3">
      <c r="B32" s="20" t="s">
        <v>106</v>
      </c>
      <c r="C32" s="20">
        <v>29</v>
      </c>
      <c r="D32" s="20">
        <v>9</v>
      </c>
      <c r="E32" s="21">
        <v>78.75</v>
      </c>
      <c r="F32" s="21">
        <v>2133.75</v>
      </c>
    </row>
    <row r="33" spans="2:6" x14ac:dyDescent="0.3">
      <c r="B33" s="22" t="s">
        <v>108</v>
      </c>
      <c r="C33" s="22">
        <v>30</v>
      </c>
      <c r="D33" s="22">
        <v>9</v>
      </c>
      <c r="E33" s="23">
        <v>76.5</v>
      </c>
      <c r="F33" s="23">
        <v>2210.25</v>
      </c>
    </row>
    <row r="34" spans="2:6" x14ac:dyDescent="0.3">
      <c r="B34" s="20" t="s">
        <v>110</v>
      </c>
      <c r="C34" s="20">
        <v>31</v>
      </c>
      <c r="D34" s="20">
        <v>9</v>
      </c>
      <c r="E34" s="21">
        <v>74.25</v>
      </c>
      <c r="F34" s="21">
        <v>2284.5</v>
      </c>
    </row>
    <row r="35" spans="2:6" x14ac:dyDescent="0.3">
      <c r="B35" s="22" t="s">
        <v>112</v>
      </c>
      <c r="C35" s="22">
        <v>32</v>
      </c>
      <c r="D35" s="22">
        <v>9</v>
      </c>
      <c r="E35" s="23">
        <v>85.5</v>
      </c>
      <c r="F35" s="23">
        <v>2370</v>
      </c>
    </row>
    <row r="36" spans="2:6" x14ac:dyDescent="0.3">
      <c r="B36" s="20" t="s">
        <v>114</v>
      </c>
      <c r="C36" s="20">
        <v>33</v>
      </c>
      <c r="D36" s="20">
        <v>9</v>
      </c>
      <c r="E36" s="21">
        <v>83.25</v>
      </c>
      <c r="F36" s="21">
        <v>2453.25</v>
      </c>
    </row>
    <row r="37" spans="2:6" x14ac:dyDescent="0.3">
      <c r="B37" s="22" t="s">
        <v>116</v>
      </c>
      <c r="C37" s="22">
        <v>34</v>
      </c>
      <c r="D37" s="22">
        <v>9</v>
      </c>
      <c r="E37" s="23">
        <v>72</v>
      </c>
      <c r="F37" s="23">
        <v>2525.25</v>
      </c>
    </row>
    <row r="38" spans="2:6" x14ac:dyDescent="0.3">
      <c r="B38" s="25" t="s">
        <v>118</v>
      </c>
      <c r="C38" s="25">
        <v>35</v>
      </c>
      <c r="D38" s="25" t="s">
        <v>63</v>
      </c>
      <c r="E38" s="25" t="s">
        <v>63</v>
      </c>
      <c r="F38" s="26">
        <v>2525.25</v>
      </c>
    </row>
    <row r="39" spans="2:6" x14ac:dyDescent="0.3">
      <c r="B39" s="22" t="s">
        <v>119</v>
      </c>
      <c r="C39" s="22">
        <v>36</v>
      </c>
      <c r="D39" s="22">
        <v>9</v>
      </c>
      <c r="E39" s="23">
        <v>74</v>
      </c>
      <c r="F39" s="23">
        <v>2599.25</v>
      </c>
    </row>
    <row r="40" spans="2:6" x14ac:dyDescent="0.3">
      <c r="B40" s="20" t="s">
        <v>121</v>
      </c>
      <c r="C40" s="20">
        <v>37</v>
      </c>
      <c r="D40" s="20">
        <v>9</v>
      </c>
      <c r="E40" s="21">
        <v>83.25</v>
      </c>
      <c r="F40" s="21">
        <v>2682.5</v>
      </c>
    </row>
    <row r="41" spans="2:6" x14ac:dyDescent="0.3">
      <c r="B41" s="22" t="s">
        <v>123</v>
      </c>
      <c r="C41" s="22">
        <v>38</v>
      </c>
      <c r="D41" s="22">
        <v>9</v>
      </c>
      <c r="E41" s="23">
        <v>81</v>
      </c>
      <c r="F41" s="23">
        <v>2763.5</v>
      </c>
    </row>
    <row r="42" spans="2:6" x14ac:dyDescent="0.3">
      <c r="B42" s="20" t="s">
        <v>125</v>
      </c>
      <c r="C42" s="20">
        <v>39</v>
      </c>
      <c r="D42" s="20">
        <v>9</v>
      </c>
      <c r="E42" s="21">
        <v>85.5</v>
      </c>
      <c r="F42" s="21">
        <v>2849</v>
      </c>
    </row>
    <row r="43" spans="2:6" x14ac:dyDescent="0.3">
      <c r="B43" s="22" t="s">
        <v>127</v>
      </c>
      <c r="C43" s="22">
        <v>40</v>
      </c>
      <c r="D43" s="22">
        <v>9</v>
      </c>
      <c r="E43" s="23">
        <v>81</v>
      </c>
      <c r="F43" s="23">
        <v>2930</v>
      </c>
    </row>
    <row r="44" spans="2:6" x14ac:dyDescent="0.3">
      <c r="B44" s="20" t="s">
        <v>129</v>
      </c>
      <c r="C44" s="20">
        <v>41</v>
      </c>
      <c r="D44" s="20">
        <v>9</v>
      </c>
      <c r="E44" s="21">
        <v>72</v>
      </c>
      <c r="F44" s="21">
        <v>3002</v>
      </c>
    </row>
    <row r="45" spans="2:6" x14ac:dyDescent="0.3">
      <c r="B45" s="22" t="s">
        <v>131</v>
      </c>
      <c r="C45" s="22">
        <v>42</v>
      </c>
      <c r="D45" s="22">
        <v>9</v>
      </c>
      <c r="E45" s="23">
        <v>72</v>
      </c>
      <c r="F45" s="23">
        <v>3074</v>
      </c>
    </row>
    <row r="46" spans="2:6" x14ac:dyDescent="0.3">
      <c r="B46" s="20" t="s">
        <v>133</v>
      </c>
      <c r="C46" s="20">
        <v>43</v>
      </c>
      <c r="D46" s="20">
        <v>9</v>
      </c>
      <c r="E46" s="21">
        <v>85.5</v>
      </c>
      <c r="F46" s="21">
        <v>3159.5</v>
      </c>
    </row>
    <row r="47" spans="2:6" x14ac:dyDescent="0.3">
      <c r="B47" s="22" t="s">
        <v>135</v>
      </c>
      <c r="C47" s="22">
        <v>44</v>
      </c>
      <c r="D47" s="22">
        <v>9</v>
      </c>
      <c r="E47" s="23">
        <v>81</v>
      </c>
      <c r="F47" s="23">
        <v>3240.5</v>
      </c>
    </row>
    <row r="48" spans="2:6" x14ac:dyDescent="0.3">
      <c r="B48" s="20" t="s">
        <v>137</v>
      </c>
      <c r="C48" s="20">
        <v>45</v>
      </c>
      <c r="D48" s="20">
        <v>9</v>
      </c>
      <c r="E48" s="21">
        <v>81</v>
      </c>
      <c r="F48" s="21">
        <v>3321.5</v>
      </c>
    </row>
    <row r="49" spans="2:6" x14ac:dyDescent="0.3">
      <c r="B49" s="22" t="s">
        <v>139</v>
      </c>
      <c r="C49" s="22">
        <v>46</v>
      </c>
      <c r="D49" s="22">
        <v>9</v>
      </c>
      <c r="E49" s="23">
        <v>81</v>
      </c>
      <c r="F49" s="23">
        <v>3402.5</v>
      </c>
    </row>
    <row r="50" spans="2:6" x14ac:dyDescent="0.3">
      <c r="B50" s="20" t="s">
        <v>141</v>
      </c>
      <c r="C50" s="20">
        <v>47</v>
      </c>
      <c r="D50" s="20">
        <v>9</v>
      </c>
      <c r="E50" s="21">
        <v>81</v>
      </c>
      <c r="F50" s="21">
        <v>3483.5</v>
      </c>
    </row>
    <row r="51" spans="2:6" x14ac:dyDescent="0.3">
      <c r="B51" s="22" t="s">
        <v>143</v>
      </c>
      <c r="C51" s="22">
        <v>48</v>
      </c>
      <c r="D51" s="22">
        <v>8</v>
      </c>
      <c r="E51" s="23">
        <v>64</v>
      </c>
      <c r="F51" s="23">
        <v>3547.5</v>
      </c>
    </row>
    <row r="52" spans="2:6" x14ac:dyDescent="0.3">
      <c r="B52" s="20" t="s">
        <v>144</v>
      </c>
      <c r="C52" s="20">
        <v>49</v>
      </c>
      <c r="D52" s="20">
        <v>20</v>
      </c>
      <c r="E52" s="21">
        <v>160</v>
      </c>
      <c r="F52" s="21">
        <v>3707.5</v>
      </c>
    </row>
    <row r="53" spans="2:6" x14ac:dyDescent="0.3">
      <c r="B53" s="25" t="s">
        <v>146</v>
      </c>
      <c r="C53" s="25">
        <v>50</v>
      </c>
      <c r="D53" s="25" t="s">
        <v>63</v>
      </c>
      <c r="E53" s="25" t="s">
        <v>63</v>
      </c>
      <c r="F53" s="26">
        <v>3707.5</v>
      </c>
    </row>
    <row r="54" spans="2:6" x14ac:dyDescent="0.3">
      <c r="B54" s="20" t="s">
        <v>147</v>
      </c>
      <c r="C54" s="20">
        <v>51</v>
      </c>
      <c r="D54" s="20">
        <v>20</v>
      </c>
      <c r="E54" s="21">
        <v>180</v>
      </c>
      <c r="F54" s="21">
        <v>3887.5</v>
      </c>
    </row>
    <row r="55" spans="2:6" x14ac:dyDescent="0.3">
      <c r="B55" s="22" t="s">
        <v>149</v>
      </c>
      <c r="C55" s="22">
        <v>52</v>
      </c>
      <c r="D55" s="22">
        <v>20</v>
      </c>
      <c r="E55" s="23">
        <v>180</v>
      </c>
      <c r="F55" s="23">
        <v>4067.5</v>
      </c>
    </row>
    <row r="56" spans="2:6" x14ac:dyDescent="0.3">
      <c r="B56" s="20" t="s">
        <v>151</v>
      </c>
      <c r="C56" s="20">
        <v>53</v>
      </c>
      <c r="D56" s="20">
        <v>19</v>
      </c>
      <c r="E56" s="21">
        <v>171</v>
      </c>
      <c r="F56" s="21">
        <v>4238.5</v>
      </c>
    </row>
    <row r="57" spans="2:6" x14ac:dyDescent="0.3">
      <c r="B57" s="22" t="s">
        <v>153</v>
      </c>
      <c r="C57" s="22">
        <v>54</v>
      </c>
      <c r="D57" s="22">
        <v>19</v>
      </c>
      <c r="E57" s="23">
        <v>180.5</v>
      </c>
      <c r="F57" s="23">
        <v>4419</v>
      </c>
    </row>
    <row r="58" spans="2:6" x14ac:dyDescent="0.3">
      <c r="B58" s="20" t="s">
        <v>155</v>
      </c>
      <c r="C58" s="20">
        <v>55</v>
      </c>
      <c r="D58" s="20">
        <v>19</v>
      </c>
      <c r="E58" s="21">
        <v>152</v>
      </c>
      <c r="F58" s="21">
        <v>4571</v>
      </c>
    </row>
    <row r="59" spans="2:6" x14ac:dyDescent="0.3">
      <c r="B59" s="22" t="s">
        <v>157</v>
      </c>
      <c r="C59" s="22">
        <v>56</v>
      </c>
      <c r="D59" s="22">
        <v>9</v>
      </c>
      <c r="E59" s="23">
        <v>74.25</v>
      </c>
      <c r="F59" s="23">
        <v>4645.25</v>
      </c>
    </row>
    <row r="60" spans="2:6" x14ac:dyDescent="0.3">
      <c r="B60" s="20" t="s">
        <v>159</v>
      </c>
      <c r="C60" s="20">
        <v>57</v>
      </c>
      <c r="D60" s="20">
        <v>9</v>
      </c>
      <c r="E60" s="21">
        <v>83.25</v>
      </c>
      <c r="F60" s="21">
        <v>4728.5</v>
      </c>
    </row>
    <row r="61" spans="2:6" x14ac:dyDescent="0.3">
      <c r="B61" s="22" t="s">
        <v>161</v>
      </c>
      <c r="C61" s="22">
        <v>58</v>
      </c>
      <c r="D61" s="22">
        <v>9</v>
      </c>
      <c r="E61" s="23">
        <v>81</v>
      </c>
      <c r="F61" s="23">
        <v>4809.5</v>
      </c>
    </row>
    <row r="62" spans="2:6" x14ac:dyDescent="0.3">
      <c r="B62" s="20" t="s">
        <v>163</v>
      </c>
      <c r="C62" s="20">
        <v>59</v>
      </c>
      <c r="D62" s="20">
        <v>9</v>
      </c>
      <c r="E62" s="21">
        <v>81</v>
      </c>
      <c r="F62" s="21">
        <v>4890.5</v>
      </c>
    </row>
    <row r="63" spans="2:6" x14ac:dyDescent="0.3">
      <c r="B63" s="22" t="s">
        <v>165</v>
      </c>
      <c r="C63" s="22">
        <v>60</v>
      </c>
      <c r="D63" s="22">
        <v>9</v>
      </c>
      <c r="E63" s="23">
        <v>72</v>
      </c>
      <c r="F63" s="23">
        <v>4962.5</v>
      </c>
    </row>
    <row r="64" spans="2:6" x14ac:dyDescent="0.3">
      <c r="B64" s="20" t="s">
        <v>167</v>
      </c>
      <c r="C64" s="20">
        <v>61</v>
      </c>
      <c r="D64" s="20">
        <v>9</v>
      </c>
      <c r="E64" s="21">
        <v>78.75</v>
      </c>
      <c r="F64" s="21">
        <v>5041.25</v>
      </c>
    </row>
    <row r="65" spans="2:6" x14ac:dyDescent="0.3">
      <c r="B65" s="22" t="s">
        <v>168</v>
      </c>
      <c r="C65" s="22">
        <v>62</v>
      </c>
      <c r="D65" s="22">
        <v>9</v>
      </c>
      <c r="E65" s="23">
        <v>76.5</v>
      </c>
      <c r="F65" s="23">
        <v>5117.75</v>
      </c>
    </row>
    <row r="66" spans="2:6" x14ac:dyDescent="0.3">
      <c r="B66" s="20" t="s">
        <v>169</v>
      </c>
      <c r="C66" s="20">
        <v>63</v>
      </c>
      <c r="D66" s="20">
        <v>9</v>
      </c>
      <c r="E66" s="21">
        <v>45</v>
      </c>
      <c r="F66" s="21">
        <v>5162.75</v>
      </c>
    </row>
    <row r="67" spans="2:6" x14ac:dyDescent="0.3">
      <c r="B67" s="22" t="s">
        <v>171</v>
      </c>
      <c r="C67" s="22">
        <v>64</v>
      </c>
      <c r="D67" s="22">
        <v>9</v>
      </c>
      <c r="E67" s="23">
        <v>72</v>
      </c>
      <c r="F67" s="23">
        <v>5234.75</v>
      </c>
    </row>
    <row r="68" spans="2:6" x14ac:dyDescent="0.3">
      <c r="B68" s="20" t="s">
        <v>172</v>
      </c>
      <c r="C68" s="20">
        <v>65</v>
      </c>
      <c r="D68" s="20">
        <v>9</v>
      </c>
      <c r="E68" s="21">
        <v>54</v>
      </c>
      <c r="F68" s="21">
        <v>5288.75</v>
      </c>
    </row>
    <row r="69" spans="2:6" x14ac:dyDescent="0.3">
      <c r="B69" s="22" t="s">
        <v>174</v>
      </c>
      <c r="C69" s="22">
        <v>66</v>
      </c>
      <c r="D69" s="22">
        <v>9</v>
      </c>
      <c r="E69" s="23">
        <v>54</v>
      </c>
      <c r="F69" s="23">
        <v>5342.75</v>
      </c>
    </row>
    <row r="70" spans="2:6" x14ac:dyDescent="0.3">
      <c r="B70" s="20" t="s">
        <v>18</v>
      </c>
      <c r="C70" s="20">
        <v>67</v>
      </c>
      <c r="D70" s="20">
        <v>0</v>
      </c>
      <c r="E70" s="21">
        <v>0</v>
      </c>
      <c r="F70" s="21">
        <v>5342.75</v>
      </c>
    </row>
    <row r="72" spans="2:6" x14ac:dyDescent="0.3">
      <c r="B72" s="72" t="s">
        <v>213</v>
      </c>
      <c r="C72" s="73"/>
      <c r="D72" s="73"/>
      <c r="E72" s="73"/>
      <c r="F72" s="73"/>
    </row>
    <row r="73" spans="2:6" x14ac:dyDescent="0.3">
      <c r="B73" s="63" t="s">
        <v>214</v>
      </c>
      <c r="C73" s="70"/>
      <c r="D73" s="64" t="s">
        <v>23</v>
      </c>
      <c r="E73" s="69"/>
      <c r="F73" s="69"/>
    </row>
    <row r="74" spans="2:6" x14ac:dyDescent="0.3">
      <c r="B74" s="65" t="s">
        <v>215</v>
      </c>
      <c r="C74" s="68"/>
      <c r="D74" s="66" t="s">
        <v>216</v>
      </c>
      <c r="E74" s="67"/>
      <c r="F74" s="67"/>
    </row>
    <row r="75" spans="2:6" x14ac:dyDescent="0.3">
      <c r="B75" s="63" t="s">
        <v>217</v>
      </c>
      <c r="C75" s="70"/>
      <c r="D75" s="64" t="s">
        <v>218</v>
      </c>
      <c r="E75" s="69"/>
      <c r="F75" s="69"/>
    </row>
    <row r="76" spans="2:6" x14ac:dyDescent="0.3">
      <c r="B76" s="65" t="s">
        <v>32</v>
      </c>
      <c r="C76" s="68"/>
      <c r="D76" s="66">
        <v>67</v>
      </c>
      <c r="E76" s="67"/>
      <c r="F76" s="67"/>
    </row>
    <row r="77" spans="2:6" x14ac:dyDescent="0.3">
      <c r="B77" s="63" t="s">
        <v>33</v>
      </c>
      <c r="C77" s="70"/>
      <c r="D77" s="64">
        <v>63</v>
      </c>
      <c r="E77" s="69"/>
      <c r="F77" s="69"/>
    </row>
    <row r="78" spans="2:6" x14ac:dyDescent="0.3">
      <c r="B78" s="65" t="s">
        <v>31</v>
      </c>
      <c r="C78" s="65"/>
      <c r="D78" s="66">
        <v>4</v>
      </c>
      <c r="E78" s="66"/>
      <c r="F78" s="66"/>
    </row>
  </sheetData>
  <mergeCells count="14">
    <mergeCell ref="B72:F72"/>
    <mergeCell ref="B78:C78"/>
    <mergeCell ref="D78:F78"/>
    <mergeCell ref="D74:F74"/>
    <mergeCell ref="B74:C74"/>
    <mergeCell ref="D73:F73"/>
    <mergeCell ref="B73:C73"/>
    <mergeCell ref="B75:C75"/>
    <mergeCell ref="D75:F75"/>
    <mergeCell ref="B76:C76"/>
    <mergeCell ref="D76:F76"/>
    <mergeCell ref="B77:C77"/>
    <mergeCell ref="D77:F77"/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5A22-20F3-4BA7-B597-C19BA819C70D}">
  <dimension ref="B1:E18"/>
  <sheetViews>
    <sheetView workbookViewId="0">
      <pane ySplit="1" topLeftCell="A2" activePane="bottomLeft" state="frozen"/>
      <selection pane="bottomLeft" activeCell="D8" sqref="D8"/>
    </sheetView>
  </sheetViews>
  <sheetFormatPr defaultRowHeight="15.6" x14ac:dyDescent="0.3"/>
  <cols>
    <col min="1" max="1" width="1" style="1" customWidth="1"/>
    <col min="2" max="2" width="14.21875" style="1" customWidth="1"/>
    <col min="3" max="3" width="33" style="1" customWidth="1"/>
    <col min="4" max="4" width="47.21875" style="1" customWidth="1"/>
    <col min="5" max="5" width="63.44140625" style="1" customWidth="1"/>
    <col min="6" max="16384" width="8.88671875" style="1"/>
  </cols>
  <sheetData>
    <row r="1" spans="2:5" ht="24" thickBot="1" x14ac:dyDescent="0.35">
      <c r="B1" s="27" t="s">
        <v>221</v>
      </c>
      <c r="C1" s="27"/>
      <c r="D1" s="27"/>
      <c r="E1" s="27"/>
    </row>
    <row r="2" spans="2:5" ht="6" customHeight="1" x14ac:dyDescent="0.3"/>
    <row r="3" spans="2:5" x14ac:dyDescent="0.3">
      <c r="B3" s="51" t="s">
        <v>46</v>
      </c>
      <c r="C3" s="51" t="s">
        <v>222</v>
      </c>
      <c r="D3" s="51" t="s">
        <v>223</v>
      </c>
      <c r="E3" s="51" t="s">
        <v>224</v>
      </c>
    </row>
    <row r="4" spans="2:5" ht="31.2" x14ac:dyDescent="0.3">
      <c r="B4" s="74" t="s">
        <v>225</v>
      </c>
      <c r="C4" s="75" t="s">
        <v>226</v>
      </c>
      <c r="D4" s="75" t="s">
        <v>227</v>
      </c>
      <c r="E4" s="75" t="s">
        <v>228</v>
      </c>
    </row>
    <row r="5" spans="2:5" ht="31.2" x14ac:dyDescent="0.3">
      <c r="B5" s="74" t="s">
        <v>229</v>
      </c>
      <c r="C5" s="75" t="s">
        <v>230</v>
      </c>
      <c r="D5" s="75" t="s">
        <v>231</v>
      </c>
      <c r="E5" s="75" t="s">
        <v>232</v>
      </c>
    </row>
    <row r="6" spans="2:5" ht="31.2" x14ac:dyDescent="0.3">
      <c r="B6" s="22" t="s">
        <v>233</v>
      </c>
      <c r="C6" s="24" t="s">
        <v>234</v>
      </c>
      <c r="D6" s="24" t="s">
        <v>235</v>
      </c>
      <c r="E6" s="24" t="s">
        <v>236</v>
      </c>
    </row>
    <row r="7" spans="2:5" ht="31.2" x14ac:dyDescent="0.3">
      <c r="B7" s="76" t="s">
        <v>237</v>
      </c>
      <c r="C7" s="77" t="s">
        <v>238</v>
      </c>
      <c r="D7" s="77" t="s">
        <v>239</v>
      </c>
      <c r="E7" s="77" t="s">
        <v>240</v>
      </c>
    </row>
    <row r="8" spans="2:5" ht="31.2" x14ac:dyDescent="0.3">
      <c r="B8" s="76" t="s">
        <v>241</v>
      </c>
      <c r="C8" s="77" t="s">
        <v>238</v>
      </c>
      <c r="D8" s="77" t="s">
        <v>242</v>
      </c>
      <c r="E8" s="77" t="s">
        <v>243</v>
      </c>
    </row>
    <row r="9" spans="2:5" ht="31.2" x14ac:dyDescent="0.3">
      <c r="B9" s="22" t="s">
        <v>244</v>
      </c>
      <c r="C9" s="24" t="s">
        <v>245</v>
      </c>
      <c r="D9" s="24" t="s">
        <v>246</v>
      </c>
      <c r="E9" s="24" t="s">
        <v>247</v>
      </c>
    </row>
    <row r="10" spans="2:5" ht="31.2" x14ac:dyDescent="0.3">
      <c r="B10" s="22" t="s">
        <v>248</v>
      </c>
      <c r="C10" s="24" t="s">
        <v>249</v>
      </c>
      <c r="D10" s="24" t="s">
        <v>250</v>
      </c>
      <c r="E10" s="24" t="s">
        <v>251</v>
      </c>
    </row>
    <row r="11" spans="2:5" ht="31.2" x14ac:dyDescent="0.3">
      <c r="B11" s="22" t="s">
        <v>248</v>
      </c>
      <c r="C11" s="24" t="s">
        <v>252</v>
      </c>
      <c r="D11" s="24" t="s">
        <v>253</v>
      </c>
      <c r="E11" s="24" t="s">
        <v>254</v>
      </c>
    </row>
    <row r="12" spans="2:5" ht="31.2" x14ac:dyDescent="0.3">
      <c r="B12" s="22" t="s">
        <v>255</v>
      </c>
      <c r="C12" s="24" t="s">
        <v>256</v>
      </c>
      <c r="D12" s="24" t="s">
        <v>257</v>
      </c>
      <c r="E12" s="24" t="s">
        <v>258</v>
      </c>
    </row>
    <row r="13" spans="2:5" ht="46.8" x14ac:dyDescent="0.3">
      <c r="B13" s="22" t="s">
        <v>259</v>
      </c>
      <c r="C13" s="24" t="s">
        <v>260</v>
      </c>
      <c r="D13" s="24" t="s">
        <v>261</v>
      </c>
      <c r="E13" s="24" t="s">
        <v>262</v>
      </c>
    </row>
    <row r="15" spans="2:5" x14ac:dyDescent="0.3">
      <c r="B15" s="72" t="s">
        <v>263</v>
      </c>
      <c r="C15" s="72"/>
      <c r="D15" s="72"/>
      <c r="E15" s="72"/>
    </row>
    <row r="16" spans="2:5" ht="31.2" x14ac:dyDescent="0.3">
      <c r="B16" s="36" t="s">
        <v>264</v>
      </c>
      <c r="C16" s="78" t="s">
        <v>265</v>
      </c>
      <c r="D16" s="78"/>
      <c r="E16" s="78"/>
    </row>
    <row r="17" spans="2:5" ht="31.2" x14ac:dyDescent="0.3">
      <c r="B17" s="36" t="s">
        <v>266</v>
      </c>
      <c r="C17" s="78" t="s">
        <v>267</v>
      </c>
      <c r="D17" s="78"/>
      <c r="E17" s="78"/>
    </row>
    <row r="18" spans="2:5" ht="46.8" x14ac:dyDescent="0.3">
      <c r="B18" s="36" t="s">
        <v>268</v>
      </c>
      <c r="C18" s="78" t="s">
        <v>269</v>
      </c>
      <c r="D18" s="78"/>
      <c r="E18" s="78"/>
    </row>
  </sheetData>
  <mergeCells count="5">
    <mergeCell ref="B1:E1"/>
    <mergeCell ref="B15:E15"/>
    <mergeCell ref="C16:E16"/>
    <mergeCell ref="C17:E17"/>
    <mergeCell ref="C18:E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4BA1-FA75-46B7-A3B7-BCB575F321D3}">
  <dimension ref="B1:J67"/>
  <sheetViews>
    <sheetView tabSelected="1" topLeftCell="A19" zoomScale="85" zoomScaleNormal="85" workbookViewId="0">
      <selection activeCell="E25" sqref="E25"/>
    </sheetView>
  </sheetViews>
  <sheetFormatPr defaultRowHeight="15.6" x14ac:dyDescent="0.3"/>
  <cols>
    <col min="1" max="1" width="1.109375" style="1" customWidth="1"/>
    <col min="2" max="2" width="35.109375" style="1" customWidth="1"/>
    <col min="3" max="3" width="19.6640625" style="1" customWidth="1"/>
    <col min="4" max="4" width="1.33203125" style="1" customWidth="1"/>
    <col min="5" max="5" width="33.21875" style="1" customWidth="1"/>
    <col min="6" max="6" width="18.88671875" style="1" customWidth="1"/>
    <col min="7" max="16384" width="8.88671875" style="1"/>
  </cols>
  <sheetData>
    <row r="1" spans="2:10" ht="23.4" customHeight="1" x14ac:dyDescent="0.3">
      <c r="B1" s="79" t="s">
        <v>337</v>
      </c>
      <c r="C1" s="80"/>
      <c r="D1" s="80"/>
      <c r="E1" s="80"/>
      <c r="F1" s="80"/>
      <c r="G1" s="80"/>
      <c r="H1" s="80"/>
      <c r="I1" s="80"/>
      <c r="J1" s="80"/>
    </row>
    <row r="3" spans="2:10" x14ac:dyDescent="0.3">
      <c r="B3" s="83" t="s">
        <v>270</v>
      </c>
      <c r="C3" s="83"/>
      <c r="D3" s="85"/>
    </row>
    <row r="4" spans="2:10" x14ac:dyDescent="0.3">
      <c r="B4" s="84" t="s">
        <v>46</v>
      </c>
      <c r="C4" s="84" t="s">
        <v>271</v>
      </c>
      <c r="D4" s="85"/>
    </row>
    <row r="5" spans="2:10" x14ac:dyDescent="0.3">
      <c r="B5" s="81" t="s">
        <v>272</v>
      </c>
      <c r="C5" s="82">
        <v>94.5</v>
      </c>
    </row>
    <row r="6" spans="2:10" x14ac:dyDescent="0.3">
      <c r="B6" s="81" t="s">
        <v>273</v>
      </c>
      <c r="C6" s="82">
        <v>63</v>
      </c>
    </row>
    <row r="7" spans="2:10" x14ac:dyDescent="0.3">
      <c r="B7" s="81" t="s">
        <v>274</v>
      </c>
      <c r="C7" s="82">
        <v>83.25</v>
      </c>
    </row>
    <row r="8" spans="2:10" x14ac:dyDescent="0.3">
      <c r="B8" s="81" t="s">
        <v>275</v>
      </c>
      <c r="C8" s="82">
        <v>85.5</v>
      </c>
    </row>
    <row r="9" spans="2:10" x14ac:dyDescent="0.3">
      <c r="B9" s="81" t="s">
        <v>276</v>
      </c>
      <c r="C9" s="82">
        <v>76.5</v>
      </c>
    </row>
    <row r="10" spans="2:10" x14ac:dyDescent="0.3">
      <c r="B10" s="81" t="s">
        <v>277</v>
      </c>
      <c r="C10" s="82">
        <v>31.5</v>
      </c>
    </row>
    <row r="11" spans="2:10" x14ac:dyDescent="0.3">
      <c r="B11" s="81" t="s">
        <v>278</v>
      </c>
      <c r="C11" s="82">
        <v>92.25</v>
      </c>
    </row>
    <row r="12" spans="2:10" x14ac:dyDescent="0.3">
      <c r="B12" s="81" t="s">
        <v>279</v>
      </c>
      <c r="C12" s="82">
        <v>76.5</v>
      </c>
    </row>
    <row r="13" spans="2:10" x14ac:dyDescent="0.3">
      <c r="B13" s="81" t="s">
        <v>280</v>
      </c>
      <c r="C13" s="82">
        <v>90</v>
      </c>
    </row>
    <row r="14" spans="2:10" x14ac:dyDescent="0.3">
      <c r="B14" s="81" t="s">
        <v>281</v>
      </c>
      <c r="C14" s="82">
        <v>84</v>
      </c>
    </row>
    <row r="15" spans="2:10" x14ac:dyDescent="0.3">
      <c r="B15" s="81" t="s">
        <v>282</v>
      </c>
      <c r="C15" s="82">
        <v>92.25</v>
      </c>
    </row>
    <row r="16" spans="2:10" x14ac:dyDescent="0.3">
      <c r="B16" s="81" t="s">
        <v>283</v>
      </c>
      <c r="C16" s="82">
        <v>76.5</v>
      </c>
    </row>
    <row r="17" spans="2:6" x14ac:dyDescent="0.3">
      <c r="B17" s="81" t="s">
        <v>284</v>
      </c>
      <c r="C17" s="82">
        <v>72</v>
      </c>
    </row>
    <row r="18" spans="2:6" x14ac:dyDescent="0.3">
      <c r="B18" s="81" t="s">
        <v>285</v>
      </c>
      <c r="C18" s="82">
        <v>54</v>
      </c>
    </row>
    <row r="19" spans="2:6" x14ac:dyDescent="0.3">
      <c r="B19" s="81" t="s">
        <v>286</v>
      </c>
      <c r="C19" s="82">
        <v>90</v>
      </c>
    </row>
    <row r="20" spans="2:6" x14ac:dyDescent="0.3">
      <c r="B20" s="81" t="s">
        <v>287</v>
      </c>
      <c r="C20" s="82">
        <v>72</v>
      </c>
    </row>
    <row r="21" spans="2:6" x14ac:dyDescent="0.3">
      <c r="B21" s="81" t="s">
        <v>288</v>
      </c>
      <c r="C21" s="82">
        <v>96.75</v>
      </c>
    </row>
    <row r="22" spans="2:6" x14ac:dyDescent="0.3">
      <c r="B22" s="81" t="s">
        <v>289</v>
      </c>
      <c r="C22" s="82">
        <v>85.5</v>
      </c>
    </row>
    <row r="23" spans="2:6" x14ac:dyDescent="0.3">
      <c r="B23" s="81" t="s">
        <v>290</v>
      </c>
      <c r="C23" s="82">
        <v>83.25</v>
      </c>
    </row>
    <row r="24" spans="2:6" x14ac:dyDescent="0.3">
      <c r="B24" s="81" t="s">
        <v>291</v>
      </c>
      <c r="C24" s="82">
        <v>72</v>
      </c>
    </row>
    <row r="25" spans="2:6" x14ac:dyDescent="0.3">
      <c r="B25" s="81" t="s">
        <v>292</v>
      </c>
      <c r="C25" s="82">
        <v>87.75</v>
      </c>
    </row>
    <row r="26" spans="2:6" x14ac:dyDescent="0.3">
      <c r="B26" s="81" t="s">
        <v>293</v>
      </c>
      <c r="C26" s="82">
        <v>81</v>
      </c>
      <c r="E26" s="83" t="s">
        <v>335</v>
      </c>
      <c r="F26" s="83"/>
    </row>
    <row r="27" spans="2:6" x14ac:dyDescent="0.3">
      <c r="B27" s="81" t="s">
        <v>294</v>
      </c>
      <c r="C27" s="82">
        <v>81</v>
      </c>
      <c r="E27" s="84" t="s">
        <v>336</v>
      </c>
      <c r="F27" s="84" t="s">
        <v>180</v>
      </c>
    </row>
    <row r="28" spans="2:6" x14ac:dyDescent="0.3">
      <c r="B28" s="81" t="s">
        <v>295</v>
      </c>
      <c r="C28" s="82">
        <v>81</v>
      </c>
      <c r="E28" s="86" t="s">
        <v>183</v>
      </c>
      <c r="F28" s="82">
        <v>535.75</v>
      </c>
    </row>
    <row r="29" spans="2:6" x14ac:dyDescent="0.3">
      <c r="B29" s="81" t="s">
        <v>296</v>
      </c>
      <c r="C29" s="82">
        <v>81</v>
      </c>
      <c r="E29" s="86" t="s">
        <v>185</v>
      </c>
      <c r="F29" s="82">
        <v>535.75</v>
      </c>
    </row>
    <row r="30" spans="2:6" x14ac:dyDescent="0.3">
      <c r="B30" s="81" t="s">
        <v>297</v>
      </c>
      <c r="C30" s="82">
        <v>72</v>
      </c>
      <c r="E30" s="86" t="s">
        <v>186</v>
      </c>
      <c r="F30" s="82">
        <v>535.75</v>
      </c>
    </row>
    <row r="31" spans="2:6" x14ac:dyDescent="0.3">
      <c r="B31" s="81" t="s">
        <v>298</v>
      </c>
      <c r="C31" s="82">
        <v>78.75</v>
      </c>
      <c r="E31" s="86" t="s">
        <v>187</v>
      </c>
      <c r="F31" s="82">
        <v>535.75</v>
      </c>
    </row>
    <row r="32" spans="2:6" x14ac:dyDescent="0.3">
      <c r="B32" s="81" t="s">
        <v>299</v>
      </c>
      <c r="C32" s="82">
        <v>76.5</v>
      </c>
      <c r="E32" s="86" t="s">
        <v>188</v>
      </c>
      <c r="F32" s="82">
        <v>535.75</v>
      </c>
    </row>
    <row r="33" spans="2:6" x14ac:dyDescent="0.3">
      <c r="B33" s="81" t="s">
        <v>300</v>
      </c>
      <c r="C33" s="82">
        <v>74.25</v>
      </c>
      <c r="E33" s="86" t="s">
        <v>189</v>
      </c>
      <c r="F33" s="82">
        <v>532.75</v>
      </c>
    </row>
    <row r="34" spans="2:6" x14ac:dyDescent="0.3">
      <c r="B34" s="81" t="s">
        <v>301</v>
      </c>
      <c r="C34" s="82">
        <v>85.5</v>
      </c>
      <c r="E34" s="86" t="s">
        <v>191</v>
      </c>
      <c r="F34" s="82">
        <v>532.75</v>
      </c>
    </row>
    <row r="35" spans="2:6" x14ac:dyDescent="0.3">
      <c r="B35" s="81" t="s">
        <v>302</v>
      </c>
      <c r="C35" s="82">
        <v>83.25</v>
      </c>
      <c r="E35" s="86" t="s">
        <v>193</v>
      </c>
      <c r="F35" s="82">
        <v>527.75</v>
      </c>
    </row>
    <row r="36" spans="2:6" x14ac:dyDescent="0.3">
      <c r="B36" s="81" t="s">
        <v>303</v>
      </c>
      <c r="C36" s="82">
        <v>72</v>
      </c>
      <c r="E36" s="86" t="s">
        <v>195</v>
      </c>
      <c r="F36" s="82">
        <v>519.75</v>
      </c>
    </row>
    <row r="37" spans="2:6" x14ac:dyDescent="0.3">
      <c r="B37" s="81" t="s">
        <v>304</v>
      </c>
      <c r="C37" s="82">
        <v>74</v>
      </c>
      <c r="E37" s="86" t="s">
        <v>196</v>
      </c>
      <c r="F37" s="82">
        <v>52.5</v>
      </c>
    </row>
    <row r="38" spans="2:6" x14ac:dyDescent="0.3">
      <c r="B38" s="81" t="s">
        <v>305</v>
      </c>
      <c r="C38" s="82">
        <v>83.25</v>
      </c>
      <c r="E38" s="86" t="s">
        <v>198</v>
      </c>
      <c r="F38" s="82">
        <v>52.5</v>
      </c>
    </row>
    <row r="39" spans="2:6" x14ac:dyDescent="0.3">
      <c r="B39" s="81" t="s">
        <v>306</v>
      </c>
      <c r="C39" s="82">
        <v>81</v>
      </c>
      <c r="E39" s="86" t="s">
        <v>199</v>
      </c>
      <c r="F39" s="82">
        <v>52.5</v>
      </c>
    </row>
    <row r="40" spans="2:6" x14ac:dyDescent="0.3">
      <c r="B40" s="81" t="s">
        <v>307</v>
      </c>
      <c r="C40" s="82">
        <v>85.5</v>
      </c>
      <c r="E40" s="86" t="s">
        <v>200</v>
      </c>
      <c r="F40" s="82">
        <v>52.5</v>
      </c>
    </row>
    <row r="41" spans="2:6" x14ac:dyDescent="0.3">
      <c r="B41" s="81" t="s">
        <v>308</v>
      </c>
      <c r="C41" s="82">
        <v>81</v>
      </c>
      <c r="E41" s="86" t="s">
        <v>201</v>
      </c>
      <c r="F41" s="82">
        <v>52.5</v>
      </c>
    </row>
    <row r="42" spans="2:6" x14ac:dyDescent="0.3">
      <c r="B42" s="81" t="s">
        <v>309</v>
      </c>
      <c r="C42" s="82">
        <v>72</v>
      </c>
      <c r="E42" s="86" t="s">
        <v>202</v>
      </c>
      <c r="F42" s="82">
        <v>52.5</v>
      </c>
    </row>
    <row r="43" spans="2:6" x14ac:dyDescent="0.3">
      <c r="B43" s="81" t="s">
        <v>310</v>
      </c>
      <c r="C43" s="82">
        <v>72</v>
      </c>
      <c r="E43" s="86" t="s">
        <v>203</v>
      </c>
      <c r="F43" s="82">
        <v>52.5</v>
      </c>
    </row>
    <row r="44" spans="2:6" x14ac:dyDescent="0.3">
      <c r="B44" s="81" t="s">
        <v>311</v>
      </c>
      <c r="C44" s="82">
        <v>85.5</v>
      </c>
      <c r="E44" s="86" t="s">
        <v>204</v>
      </c>
      <c r="F44" s="82">
        <v>52.5</v>
      </c>
    </row>
    <row r="45" spans="2:6" x14ac:dyDescent="0.3">
      <c r="B45" s="81" t="s">
        <v>312</v>
      </c>
      <c r="C45" s="82">
        <v>81</v>
      </c>
      <c r="E45" s="86" t="s">
        <v>205</v>
      </c>
      <c r="F45" s="82">
        <v>52.5</v>
      </c>
    </row>
    <row r="46" spans="2:6" x14ac:dyDescent="0.3">
      <c r="B46" s="81" t="s">
        <v>313</v>
      </c>
      <c r="C46" s="82">
        <v>81</v>
      </c>
      <c r="E46" s="86" t="s">
        <v>206</v>
      </c>
      <c r="F46" s="82">
        <v>52.5</v>
      </c>
    </row>
    <row r="47" spans="2:6" x14ac:dyDescent="0.3">
      <c r="B47" s="81" t="s">
        <v>314</v>
      </c>
      <c r="C47" s="82">
        <v>81</v>
      </c>
      <c r="E47" s="86" t="s">
        <v>207</v>
      </c>
      <c r="F47" s="82">
        <v>26</v>
      </c>
    </row>
    <row r="48" spans="2:6" x14ac:dyDescent="0.3">
      <c r="B48" s="81" t="s">
        <v>315</v>
      </c>
      <c r="C48" s="82">
        <v>81</v>
      </c>
    </row>
    <row r="49" spans="2:3" x14ac:dyDescent="0.3">
      <c r="B49" s="81" t="s">
        <v>316</v>
      </c>
      <c r="C49" s="82">
        <v>64</v>
      </c>
    </row>
    <row r="50" spans="2:3" x14ac:dyDescent="0.3">
      <c r="B50" s="81" t="s">
        <v>317</v>
      </c>
      <c r="C50" s="82">
        <v>160</v>
      </c>
    </row>
    <row r="51" spans="2:3" x14ac:dyDescent="0.3">
      <c r="B51" s="81" t="s">
        <v>318</v>
      </c>
      <c r="C51" s="82">
        <v>180</v>
      </c>
    </row>
    <row r="52" spans="2:3" x14ac:dyDescent="0.3">
      <c r="B52" s="81" t="s">
        <v>319</v>
      </c>
      <c r="C52" s="82">
        <v>180</v>
      </c>
    </row>
    <row r="53" spans="2:3" x14ac:dyDescent="0.3">
      <c r="B53" s="81" t="s">
        <v>320</v>
      </c>
      <c r="C53" s="82">
        <v>171</v>
      </c>
    </row>
    <row r="54" spans="2:3" x14ac:dyDescent="0.3">
      <c r="B54" s="81" t="s">
        <v>321</v>
      </c>
      <c r="C54" s="82">
        <v>180.5</v>
      </c>
    </row>
    <row r="55" spans="2:3" x14ac:dyDescent="0.3">
      <c r="B55" s="81" t="s">
        <v>322</v>
      </c>
      <c r="C55" s="82">
        <v>152</v>
      </c>
    </row>
    <row r="56" spans="2:3" x14ac:dyDescent="0.3">
      <c r="B56" s="81" t="s">
        <v>323</v>
      </c>
      <c r="C56" s="82">
        <v>74.25</v>
      </c>
    </row>
    <row r="57" spans="2:3" x14ac:dyDescent="0.3">
      <c r="B57" s="81" t="s">
        <v>324</v>
      </c>
      <c r="C57" s="82">
        <v>83.25</v>
      </c>
    </row>
    <row r="58" spans="2:3" x14ac:dyDescent="0.3">
      <c r="B58" s="81" t="s">
        <v>325</v>
      </c>
      <c r="C58" s="82">
        <v>81</v>
      </c>
    </row>
    <row r="59" spans="2:3" x14ac:dyDescent="0.3">
      <c r="B59" s="81" t="s">
        <v>326</v>
      </c>
      <c r="C59" s="82">
        <v>81</v>
      </c>
    </row>
    <row r="60" spans="2:3" x14ac:dyDescent="0.3">
      <c r="B60" s="81" t="s">
        <v>327</v>
      </c>
      <c r="C60" s="82">
        <v>72</v>
      </c>
    </row>
    <row r="61" spans="2:3" x14ac:dyDescent="0.3">
      <c r="B61" s="81" t="s">
        <v>328</v>
      </c>
      <c r="C61" s="82">
        <v>78.75</v>
      </c>
    </row>
    <row r="62" spans="2:3" x14ac:dyDescent="0.3">
      <c r="B62" s="81" t="s">
        <v>329</v>
      </c>
      <c r="C62" s="82">
        <v>76.5</v>
      </c>
    </row>
    <row r="63" spans="2:3" x14ac:dyDescent="0.3">
      <c r="B63" s="81" t="s">
        <v>330</v>
      </c>
      <c r="C63" s="82">
        <v>45</v>
      </c>
    </row>
    <row r="64" spans="2:3" x14ac:dyDescent="0.3">
      <c r="B64" s="81" t="s">
        <v>331</v>
      </c>
      <c r="C64" s="82">
        <v>72</v>
      </c>
    </row>
    <row r="65" spans="2:3" x14ac:dyDescent="0.3">
      <c r="B65" s="81" t="s">
        <v>332</v>
      </c>
      <c r="C65" s="82">
        <v>54</v>
      </c>
    </row>
    <row r="66" spans="2:3" x14ac:dyDescent="0.3">
      <c r="B66" s="81" t="s">
        <v>333</v>
      </c>
      <c r="C66" s="82">
        <v>54</v>
      </c>
    </row>
    <row r="67" spans="2:3" x14ac:dyDescent="0.3">
      <c r="B67" s="81" t="s">
        <v>334</v>
      </c>
      <c r="C67" s="82">
        <v>0</v>
      </c>
    </row>
  </sheetData>
  <mergeCells count="3">
    <mergeCell ref="B3:C3"/>
    <mergeCell ref="E26:F26"/>
    <mergeCell ref="B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Production by Job</vt:lpstr>
      <vt:lpstr>Production by Crew</vt:lpstr>
      <vt:lpstr>Daily Totals</vt:lpstr>
      <vt:lpstr>Issues &amp; Flags</vt:lpstr>
      <vt:lpstr>Charts &amp;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Bermudez</dc:creator>
  <cp:lastModifiedBy>Harold Bermudez</cp:lastModifiedBy>
  <dcterms:created xsi:type="dcterms:W3CDTF">2026-03-26T14:12:14Z</dcterms:created>
  <dcterms:modified xsi:type="dcterms:W3CDTF">2026-03-26T15:15:37Z</dcterms:modified>
</cp:coreProperties>
</file>