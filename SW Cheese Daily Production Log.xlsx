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0F0C654-70EF-4873-A749-41C7AB7654B8}" xr6:coauthVersionLast="47" xr6:coauthVersionMax="47" xr10:uidLastSave="{00000000-0000-0000-0000-000000000000}"/>
  <bookViews>
    <workbookView xWindow="-108" yWindow="-108" windowWidth="23256" windowHeight="12456" firstSheet="8" activeTab="17" xr2:uid="{AC954F7D-8D71-4E17-98E0-91370DB49347}"/>
  </bookViews>
  <sheets>
    <sheet name="7-21" sheetId="103" r:id="rId1"/>
    <sheet name="7-10-22" sheetId="92" r:id="rId2"/>
    <sheet name="7-9-22" sheetId="91" r:id="rId3"/>
    <sheet name="7-8-22" sheetId="90" r:id="rId4"/>
    <sheet name="Sheet1" sheetId="82" r:id="rId5"/>
    <sheet name="Sheet2" sheetId="83" r:id="rId6"/>
    <sheet name="Sheet3" sheetId="84" r:id="rId7"/>
    <sheet name="Sheet4" sheetId="85" r:id="rId8"/>
    <sheet name="Sheet5" sheetId="86" r:id="rId9"/>
    <sheet name="7-1-22" sheetId="78" r:id="rId10"/>
    <sheet name="6-30-22" sheetId="77" r:id="rId11"/>
    <sheet name="6-29-22" sheetId="76" r:id="rId12"/>
    <sheet name="6-28-22" sheetId="75" r:id="rId13"/>
    <sheet name="6-27-22" sheetId="74" r:id="rId14"/>
    <sheet name="6-26-22" sheetId="73" r:id="rId15"/>
    <sheet name="6-25-22" sheetId="72" r:id="rId16"/>
    <sheet name="6-24-22" sheetId="71" r:id="rId17"/>
    <sheet name="6-23-22" sheetId="70" r:id="rId18"/>
    <sheet name="6-22-22" sheetId="69" r:id="rId19"/>
    <sheet name="6-21-22" sheetId="68" r:id="rId20"/>
    <sheet name="6-20-22" sheetId="67" r:id="rId21"/>
    <sheet name="6-19-22" sheetId="66" r:id="rId22"/>
    <sheet name="6-18-22" sheetId="65" r:id="rId23"/>
    <sheet name="6-17-22" sheetId="64" r:id="rId24"/>
    <sheet name="6-16-22" sheetId="63" r:id="rId25"/>
    <sheet name="6-15-22" sheetId="62" r:id="rId26"/>
    <sheet name="6-14-22" sheetId="61" r:id="rId27"/>
    <sheet name="6-13-22" sheetId="60" r:id="rId28"/>
    <sheet name="6-12-22" sheetId="59" r:id="rId29"/>
    <sheet name="6-11-22" sheetId="58" r:id="rId30"/>
    <sheet name="6-10-22" sheetId="57" r:id="rId31"/>
    <sheet name="6-9-22" sheetId="56" r:id="rId32"/>
    <sheet name="6-8-22" sheetId="55" r:id="rId33"/>
    <sheet name="6-7-22" sheetId="54" r:id="rId34"/>
    <sheet name="6-6-22" sheetId="53" r:id="rId35"/>
    <sheet name="6-5-22" sheetId="52" r:id="rId36"/>
    <sheet name="6-4-22" sheetId="51" r:id="rId37"/>
    <sheet name="6-3-22" sheetId="50" r:id="rId38"/>
    <sheet name="6-2-22" sheetId="49" r:id="rId39"/>
    <sheet name="6-1-22" sheetId="48" r:id="rId40"/>
    <sheet name="5-31-22" sheetId="47" r:id="rId41"/>
    <sheet name="5-30-22" sheetId="46" r:id="rId42"/>
    <sheet name="5-29-22" sheetId="45" r:id="rId43"/>
    <sheet name="5-28-22" sheetId="44" r:id="rId44"/>
    <sheet name="5-27-22" sheetId="43" r:id="rId45"/>
    <sheet name="5-26-22" sheetId="42" r:id="rId46"/>
    <sheet name="5-25-22" sheetId="41" r:id="rId47"/>
    <sheet name="5-24-22" sheetId="40" r:id="rId48"/>
    <sheet name="5-23-22" sheetId="39" r:id="rId49"/>
    <sheet name="5-22-22" sheetId="38" r:id="rId50"/>
    <sheet name="5-21-22" sheetId="37" r:id="rId51"/>
    <sheet name="5-20-22" sheetId="36" r:id="rId52"/>
    <sheet name="5-19-22" sheetId="35" r:id="rId53"/>
    <sheet name="5-18-22" sheetId="34" r:id="rId54"/>
    <sheet name="5-17-22" sheetId="33" r:id="rId55"/>
    <sheet name="5-16-22" sheetId="32" r:id="rId5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4" i="103" l="1"/>
  <c r="I5" i="103"/>
  <c r="M46" i="103"/>
  <c r="N46" i="103" s="1"/>
  <c r="J46" i="103"/>
  <c r="K46" i="103" s="1"/>
  <c r="M44" i="103"/>
  <c r="J44" i="103"/>
  <c r="K44" i="103" s="1"/>
  <c r="M42" i="103"/>
  <c r="N42" i="103" s="1"/>
  <c r="J42" i="103"/>
  <c r="K42" i="103" s="1"/>
  <c r="M40" i="103"/>
  <c r="J40" i="103"/>
  <c r="K40" i="103" s="1"/>
  <c r="M38" i="103"/>
  <c r="N38" i="103" s="1"/>
  <c r="J38" i="103"/>
  <c r="K38" i="103" s="1"/>
  <c r="C38" i="103"/>
  <c r="N36" i="103"/>
  <c r="M36" i="103"/>
  <c r="K36" i="103"/>
  <c r="J36" i="103"/>
  <c r="O36" i="103" s="1"/>
  <c r="P36" i="103" s="1"/>
  <c r="N34" i="103"/>
  <c r="M34" i="103"/>
  <c r="K34" i="103"/>
  <c r="J34" i="103"/>
  <c r="O34" i="103" s="1"/>
  <c r="P34" i="103" s="1"/>
  <c r="N32" i="103"/>
  <c r="M32" i="103"/>
  <c r="K32" i="103"/>
  <c r="J32" i="103"/>
  <c r="O32" i="103" s="1"/>
  <c r="P32" i="103" s="1"/>
  <c r="N30" i="103"/>
  <c r="M30" i="103"/>
  <c r="K30" i="103"/>
  <c r="J30" i="103"/>
  <c r="O30" i="103" s="1"/>
  <c r="P30" i="103" s="1"/>
  <c r="N28" i="103"/>
  <c r="M28" i="103"/>
  <c r="K28" i="103"/>
  <c r="J28" i="103"/>
  <c r="O28" i="103" s="1"/>
  <c r="P28" i="103" s="1"/>
  <c r="N26" i="103"/>
  <c r="M26" i="103"/>
  <c r="K26" i="103"/>
  <c r="J26" i="103"/>
  <c r="O26" i="103" s="1"/>
  <c r="P26" i="103" s="1"/>
  <c r="N24" i="103"/>
  <c r="M24" i="103"/>
  <c r="K24" i="103"/>
  <c r="J24" i="103"/>
  <c r="O24" i="103" s="1"/>
  <c r="P24" i="103" s="1"/>
  <c r="N22" i="103"/>
  <c r="M22" i="103"/>
  <c r="K22" i="103"/>
  <c r="J22" i="103"/>
  <c r="O22" i="103" s="1"/>
  <c r="P22" i="103" s="1"/>
  <c r="N20" i="103"/>
  <c r="J20" i="103"/>
  <c r="K20" i="103" s="1"/>
  <c r="G4" i="103"/>
  <c r="G5" i="103" s="1"/>
  <c r="M46" i="92"/>
  <c r="N46" i="92" s="1"/>
  <c r="J46" i="92"/>
  <c r="K46" i="92" s="1"/>
  <c r="M44" i="92"/>
  <c r="J44" i="92"/>
  <c r="K44" i="92" s="1"/>
  <c r="M42" i="92"/>
  <c r="N42" i="92" s="1"/>
  <c r="J42" i="92"/>
  <c r="O42" i="92" s="1"/>
  <c r="M40" i="92"/>
  <c r="J40" i="92"/>
  <c r="K40" i="92" s="1"/>
  <c r="M38" i="92"/>
  <c r="N38" i="92" s="1"/>
  <c r="J38" i="92"/>
  <c r="O38" i="92" s="1"/>
  <c r="C38" i="92"/>
  <c r="N36" i="92"/>
  <c r="M36" i="92"/>
  <c r="J36" i="92"/>
  <c r="K36" i="92" s="1"/>
  <c r="M34" i="92"/>
  <c r="N34" i="92" s="1"/>
  <c r="J34" i="92"/>
  <c r="O34" i="92" s="1"/>
  <c r="P34" i="92" s="1"/>
  <c r="N32" i="92"/>
  <c r="M32" i="92"/>
  <c r="J32" i="92"/>
  <c r="K32" i="92" s="1"/>
  <c r="M30" i="92"/>
  <c r="N30" i="92" s="1"/>
  <c r="K30" i="92"/>
  <c r="J30" i="92"/>
  <c r="O30" i="92" s="1"/>
  <c r="P30" i="92" s="1"/>
  <c r="N28" i="92"/>
  <c r="M28" i="92"/>
  <c r="J28" i="92"/>
  <c r="K28" i="92" s="1"/>
  <c r="M26" i="92"/>
  <c r="N26" i="92" s="1"/>
  <c r="K26" i="92"/>
  <c r="J26" i="92"/>
  <c r="O26" i="92" s="1"/>
  <c r="P26" i="92" s="1"/>
  <c r="N24" i="92"/>
  <c r="M24" i="92"/>
  <c r="J24" i="92"/>
  <c r="K24" i="92" s="1"/>
  <c r="M22" i="92"/>
  <c r="N22" i="92" s="1"/>
  <c r="K22" i="92"/>
  <c r="J22" i="92"/>
  <c r="O22" i="92" s="1"/>
  <c r="P22" i="92" s="1"/>
  <c r="O20" i="92"/>
  <c r="N20" i="92"/>
  <c r="K20" i="92"/>
  <c r="J20" i="92"/>
  <c r="N16" i="92"/>
  <c r="G4" i="92" s="1"/>
  <c r="G5" i="92" s="1"/>
  <c r="I5" i="92"/>
  <c r="M46" i="91"/>
  <c r="N46" i="91" s="1"/>
  <c r="J46" i="91"/>
  <c r="K46" i="91" s="1"/>
  <c r="M44" i="91"/>
  <c r="J44" i="91"/>
  <c r="K44" i="91" s="1"/>
  <c r="M42" i="91"/>
  <c r="N42" i="91" s="1"/>
  <c r="J42" i="91"/>
  <c r="O42" i="91" s="1"/>
  <c r="M40" i="91"/>
  <c r="J40" i="91"/>
  <c r="K40" i="91" s="1"/>
  <c r="M38" i="91"/>
  <c r="N38" i="91" s="1"/>
  <c r="J38" i="91"/>
  <c r="K38" i="91" s="1"/>
  <c r="C38" i="91"/>
  <c r="N36" i="91"/>
  <c r="M36" i="91"/>
  <c r="K36" i="91"/>
  <c r="J36" i="91"/>
  <c r="O36" i="91" s="1"/>
  <c r="P36" i="91" s="1"/>
  <c r="M34" i="91"/>
  <c r="N34" i="91" s="1"/>
  <c r="J34" i="91"/>
  <c r="O34" i="91" s="1"/>
  <c r="N32" i="91"/>
  <c r="M32" i="91"/>
  <c r="K32" i="91"/>
  <c r="J32" i="91"/>
  <c r="O32" i="91" s="1"/>
  <c r="P32" i="91" s="1"/>
  <c r="N30" i="91"/>
  <c r="M30" i="91"/>
  <c r="K30" i="91"/>
  <c r="J30" i="91"/>
  <c r="O30" i="91" s="1"/>
  <c r="P30" i="91" s="1"/>
  <c r="N28" i="91"/>
  <c r="M28" i="91"/>
  <c r="K28" i="91"/>
  <c r="J28" i="91"/>
  <c r="O28" i="91" s="1"/>
  <c r="P28" i="91" s="1"/>
  <c r="N26" i="91"/>
  <c r="M26" i="91"/>
  <c r="K26" i="91"/>
  <c r="J26" i="91"/>
  <c r="O26" i="91" s="1"/>
  <c r="P26" i="91" s="1"/>
  <c r="N24" i="91"/>
  <c r="M24" i="91"/>
  <c r="K24" i="91"/>
  <c r="J24" i="91"/>
  <c r="O24" i="91" s="1"/>
  <c r="P24" i="91" s="1"/>
  <c r="N22" i="91"/>
  <c r="M22" i="91"/>
  <c r="K22" i="91"/>
  <c r="J22" i="91"/>
  <c r="O22" i="91" s="1"/>
  <c r="P22" i="91" s="1"/>
  <c r="N20" i="91"/>
  <c r="J20" i="91"/>
  <c r="K20" i="91" s="1"/>
  <c r="N16" i="91"/>
  <c r="G4" i="91" s="1"/>
  <c r="G5" i="91" s="1"/>
  <c r="I5" i="91"/>
  <c r="M46" i="90"/>
  <c r="N46" i="90" s="1"/>
  <c r="J46" i="90"/>
  <c r="K46" i="90" s="1"/>
  <c r="M44" i="90"/>
  <c r="J44" i="90"/>
  <c r="K44" i="90" s="1"/>
  <c r="M42" i="90"/>
  <c r="N42" i="90" s="1"/>
  <c r="J42" i="90"/>
  <c r="O42" i="90" s="1"/>
  <c r="M40" i="90"/>
  <c r="J40" i="90"/>
  <c r="K40" i="90" s="1"/>
  <c r="M38" i="90"/>
  <c r="N38" i="90" s="1"/>
  <c r="J38" i="90"/>
  <c r="K38" i="90" s="1"/>
  <c r="C38" i="90"/>
  <c r="N36" i="90"/>
  <c r="M36" i="90"/>
  <c r="K36" i="90"/>
  <c r="J36" i="90"/>
  <c r="O36" i="90" s="1"/>
  <c r="P36" i="90" s="1"/>
  <c r="M34" i="90"/>
  <c r="N34" i="90" s="1"/>
  <c r="J34" i="90"/>
  <c r="O34" i="90" s="1"/>
  <c r="N32" i="90"/>
  <c r="M32" i="90"/>
  <c r="K32" i="90"/>
  <c r="J32" i="90"/>
  <c r="O32" i="90" s="1"/>
  <c r="P32" i="90" s="1"/>
  <c r="N30" i="90"/>
  <c r="M30" i="90"/>
  <c r="K30" i="90"/>
  <c r="J30" i="90"/>
  <c r="O30" i="90" s="1"/>
  <c r="P30" i="90" s="1"/>
  <c r="N28" i="90"/>
  <c r="M28" i="90"/>
  <c r="K28" i="90"/>
  <c r="J28" i="90"/>
  <c r="O28" i="90" s="1"/>
  <c r="P28" i="90" s="1"/>
  <c r="N26" i="90"/>
  <c r="M26" i="90"/>
  <c r="K26" i="90"/>
  <c r="J26" i="90"/>
  <c r="O26" i="90" s="1"/>
  <c r="P26" i="90" s="1"/>
  <c r="N24" i="90"/>
  <c r="M24" i="90"/>
  <c r="K24" i="90"/>
  <c r="J24" i="90"/>
  <c r="O24" i="90" s="1"/>
  <c r="P24" i="90" s="1"/>
  <c r="N22" i="90"/>
  <c r="M22" i="90"/>
  <c r="K22" i="90"/>
  <c r="J22" i="90"/>
  <c r="O22" i="90" s="1"/>
  <c r="P22" i="90" s="1"/>
  <c r="N20" i="90"/>
  <c r="J20" i="90"/>
  <c r="K20" i="90" s="1"/>
  <c r="N16" i="90"/>
  <c r="G4" i="90" s="1"/>
  <c r="G5" i="90" s="1"/>
  <c r="I5" i="90"/>
  <c r="G4" i="77"/>
  <c r="O46" i="78"/>
  <c r="O44" i="78"/>
  <c r="O42" i="78"/>
  <c r="O40" i="78"/>
  <c r="O38" i="78"/>
  <c r="O36" i="78"/>
  <c r="O32" i="78"/>
  <c r="O30" i="78"/>
  <c r="O26" i="78"/>
  <c r="O24" i="78"/>
  <c r="M46" i="78"/>
  <c r="M44" i="78"/>
  <c r="M42" i="78"/>
  <c r="M40" i="78"/>
  <c r="M38" i="78"/>
  <c r="M36" i="78"/>
  <c r="M34" i="78"/>
  <c r="N34" i="78" s="1"/>
  <c r="M32" i="78"/>
  <c r="N32" i="78" s="1"/>
  <c r="M30" i="78"/>
  <c r="M26" i="78"/>
  <c r="M24" i="78"/>
  <c r="N24" i="78" s="1"/>
  <c r="O22" i="78"/>
  <c r="M22" i="78"/>
  <c r="N22" i="78" s="1"/>
  <c r="O20" i="78"/>
  <c r="N46" i="78"/>
  <c r="J46" i="78"/>
  <c r="J44" i="78"/>
  <c r="K44" i="78" s="1"/>
  <c r="N42" i="78"/>
  <c r="J42" i="78"/>
  <c r="K42" i="78" s="1"/>
  <c r="J40" i="78"/>
  <c r="K40" i="78" s="1"/>
  <c r="N38" i="78"/>
  <c r="J38" i="78"/>
  <c r="K38" i="78" s="1"/>
  <c r="C38" i="78"/>
  <c r="N36" i="78"/>
  <c r="J36" i="78"/>
  <c r="J34" i="78"/>
  <c r="K34" i="78" s="1"/>
  <c r="J32" i="78"/>
  <c r="K32" i="78" s="1"/>
  <c r="N30" i="78"/>
  <c r="K30" i="78"/>
  <c r="J30" i="78"/>
  <c r="J28" i="78"/>
  <c r="K28" i="78" s="1"/>
  <c r="N26" i="78"/>
  <c r="K26" i="78"/>
  <c r="J26" i="78"/>
  <c r="P26" i="78" s="1"/>
  <c r="J24" i="78"/>
  <c r="P24" i="78" s="1"/>
  <c r="K22" i="78"/>
  <c r="J22" i="78"/>
  <c r="N20" i="78"/>
  <c r="J20" i="78"/>
  <c r="K20" i="78" s="1"/>
  <c r="N16" i="78"/>
  <c r="I5" i="78"/>
  <c r="O46" i="103" l="1"/>
  <c r="O38" i="103"/>
  <c r="P38" i="103" s="1"/>
  <c r="O42" i="103"/>
  <c r="O20" i="103"/>
  <c r="N40" i="103"/>
  <c r="P42" i="103"/>
  <c r="N44" i="103"/>
  <c r="P46" i="103"/>
  <c r="O40" i="103"/>
  <c r="P40" i="103" s="1"/>
  <c r="O44" i="103"/>
  <c r="J47" i="103"/>
  <c r="K34" i="92"/>
  <c r="J47" i="92"/>
  <c r="K34" i="91"/>
  <c r="P34" i="91"/>
  <c r="K34" i="90"/>
  <c r="P34" i="90"/>
  <c r="O46" i="92"/>
  <c r="O36" i="92"/>
  <c r="P36" i="92" s="1"/>
  <c r="K38" i="92"/>
  <c r="P38" i="92"/>
  <c r="N40" i="92"/>
  <c r="K42" i="92"/>
  <c r="P42" i="92"/>
  <c r="N44" i="92"/>
  <c r="P46" i="92"/>
  <c r="O24" i="92"/>
  <c r="P24" i="92" s="1"/>
  <c r="O28" i="92"/>
  <c r="P28" i="92" s="1"/>
  <c r="O32" i="92"/>
  <c r="P32" i="92" s="1"/>
  <c r="P20" i="92"/>
  <c r="O40" i="92"/>
  <c r="P40" i="92" s="1"/>
  <c r="O44" i="92"/>
  <c r="P44" i="92" s="1"/>
  <c r="O38" i="91"/>
  <c r="P38" i="91" s="1"/>
  <c r="O46" i="91"/>
  <c r="P46" i="91" s="1"/>
  <c r="O20" i="91"/>
  <c r="N40" i="91"/>
  <c r="K42" i="91"/>
  <c r="P42" i="91"/>
  <c r="N44" i="91"/>
  <c r="O40" i="91"/>
  <c r="P40" i="91" s="1"/>
  <c r="O44" i="91"/>
  <c r="P44" i="91" s="1"/>
  <c r="J47" i="91"/>
  <c r="O38" i="90"/>
  <c r="P38" i="90" s="1"/>
  <c r="O46" i="90"/>
  <c r="P46" i="90" s="1"/>
  <c r="O20" i="90"/>
  <c r="N40" i="90"/>
  <c r="K42" i="90"/>
  <c r="P42" i="90"/>
  <c r="N44" i="90"/>
  <c r="O40" i="90"/>
  <c r="P40" i="90" s="1"/>
  <c r="O44" i="90"/>
  <c r="P44" i="90" s="1"/>
  <c r="J47" i="90"/>
  <c r="G4" i="78"/>
  <c r="G5" i="78" s="1"/>
  <c r="P36" i="78"/>
  <c r="P46" i="78"/>
  <c r="P30" i="78"/>
  <c r="P22" i="78"/>
  <c r="P38" i="78"/>
  <c r="P42" i="78"/>
  <c r="P32" i="78"/>
  <c r="N40" i="78"/>
  <c r="K46" i="78"/>
  <c r="P20" i="78"/>
  <c r="K24" i="78"/>
  <c r="K36" i="78"/>
  <c r="P40" i="78"/>
  <c r="P44" i="78"/>
  <c r="J47" i="78"/>
  <c r="N44" i="78"/>
  <c r="O47" i="103" l="1"/>
  <c r="P20" i="103"/>
  <c r="O47" i="92"/>
  <c r="O47" i="91"/>
  <c r="P20" i="91"/>
  <c r="O47" i="90"/>
  <c r="P20" i="90"/>
  <c r="N16" i="77"/>
  <c r="J16" i="76"/>
  <c r="O46" i="77"/>
  <c r="O44" i="77"/>
  <c r="O42" i="77"/>
  <c r="O40" i="77"/>
  <c r="O38" i="77"/>
  <c r="O36" i="77"/>
  <c r="O32" i="77"/>
  <c r="O30" i="77"/>
  <c r="O26" i="77"/>
  <c r="O24" i="77"/>
  <c r="M46" i="77"/>
  <c r="M44" i="77"/>
  <c r="N44" i="77" s="1"/>
  <c r="M42" i="77"/>
  <c r="M40" i="77"/>
  <c r="M38" i="77"/>
  <c r="M36" i="77"/>
  <c r="P36" i="77" s="1"/>
  <c r="M34" i="77"/>
  <c r="M32" i="77"/>
  <c r="M30" i="77"/>
  <c r="N30" i="77" s="1"/>
  <c r="M28" i="77"/>
  <c r="M28" i="78" s="1"/>
  <c r="M26" i="77"/>
  <c r="M24" i="77"/>
  <c r="O22" i="77"/>
  <c r="M22" i="77"/>
  <c r="N22" i="77" s="1"/>
  <c r="O20" i="77"/>
  <c r="N46" i="77"/>
  <c r="J46" i="77"/>
  <c r="K46" i="77" s="1"/>
  <c r="K44" i="77"/>
  <c r="J44" i="77"/>
  <c r="N42" i="77"/>
  <c r="J42" i="77"/>
  <c r="K42" i="77" s="1"/>
  <c r="N40" i="77"/>
  <c r="K40" i="77"/>
  <c r="J40" i="77"/>
  <c r="J38" i="77"/>
  <c r="K38" i="77" s="1"/>
  <c r="C38" i="77"/>
  <c r="K36" i="77"/>
  <c r="J36" i="77"/>
  <c r="N34" i="77"/>
  <c r="J34" i="77"/>
  <c r="O34" i="77" s="1"/>
  <c r="O34" i="78" s="1"/>
  <c r="P34" i="78" s="1"/>
  <c r="K32" i="77"/>
  <c r="J32" i="77"/>
  <c r="J30" i="77"/>
  <c r="J28" i="77"/>
  <c r="O28" i="77" s="1"/>
  <c r="O28" i="78" s="1"/>
  <c r="N26" i="77"/>
  <c r="J26" i="77"/>
  <c r="K24" i="77"/>
  <c r="J24" i="77"/>
  <c r="J22" i="77"/>
  <c r="P22" i="77" s="1"/>
  <c r="N20" i="77"/>
  <c r="K20" i="77"/>
  <c r="J20" i="77"/>
  <c r="I5" i="77"/>
  <c r="O44" i="76"/>
  <c r="O42" i="76"/>
  <c r="O40" i="76"/>
  <c r="O38" i="76"/>
  <c r="O36" i="76"/>
  <c r="O34" i="76"/>
  <c r="O32" i="76"/>
  <c r="O30" i="76"/>
  <c r="O28" i="76"/>
  <c r="O26" i="76"/>
  <c r="O24" i="76"/>
  <c r="M46" i="76"/>
  <c r="M44" i="76"/>
  <c r="M42" i="76"/>
  <c r="N42" i="76" s="1"/>
  <c r="M40" i="76"/>
  <c r="M38" i="76"/>
  <c r="M36" i="76"/>
  <c r="N36" i="76" s="1"/>
  <c r="M34" i="76"/>
  <c r="N34" i="76" s="1"/>
  <c r="M32" i="76"/>
  <c r="M30" i="76"/>
  <c r="M28" i="76"/>
  <c r="N28" i="76" s="1"/>
  <c r="M26" i="76"/>
  <c r="N26" i="76" s="1"/>
  <c r="M24" i="76"/>
  <c r="O22" i="76"/>
  <c r="M22" i="76"/>
  <c r="N22" i="76" s="1"/>
  <c r="O20" i="76"/>
  <c r="G4" i="76"/>
  <c r="G5" i="76" s="1"/>
  <c r="N46" i="76"/>
  <c r="J46" i="76"/>
  <c r="K46" i="76" s="1"/>
  <c r="J44" i="76"/>
  <c r="K44" i="76" s="1"/>
  <c r="J42" i="76"/>
  <c r="K42" i="76" s="1"/>
  <c r="J40" i="76"/>
  <c r="K40" i="76" s="1"/>
  <c r="N38" i="76"/>
  <c r="J38" i="76"/>
  <c r="K38" i="76" s="1"/>
  <c r="C38" i="76"/>
  <c r="K36" i="76"/>
  <c r="J36" i="76"/>
  <c r="P36" i="76" s="1"/>
  <c r="K34" i="76"/>
  <c r="J34" i="76"/>
  <c r="N32" i="76"/>
  <c r="K32" i="76"/>
  <c r="J32" i="76"/>
  <c r="N30" i="76"/>
  <c r="K30" i="76"/>
  <c r="J30" i="76"/>
  <c r="K28" i="76"/>
  <c r="J28" i="76"/>
  <c r="K26" i="76"/>
  <c r="J26" i="76"/>
  <c r="P26" i="76" s="1"/>
  <c r="N24" i="76"/>
  <c r="K24" i="76"/>
  <c r="J24" i="76"/>
  <c r="K22" i="76"/>
  <c r="J22" i="76"/>
  <c r="P22" i="76" s="1"/>
  <c r="N20" i="76"/>
  <c r="J20" i="76"/>
  <c r="K20" i="76" s="1"/>
  <c r="I5" i="76"/>
  <c r="O47" i="78" l="1"/>
  <c r="J47" i="77"/>
  <c r="N28" i="78"/>
  <c r="P28" i="78"/>
  <c r="G5" i="77"/>
  <c r="K28" i="77"/>
  <c r="P28" i="77"/>
  <c r="P44" i="77"/>
  <c r="P40" i="77"/>
  <c r="N38" i="77"/>
  <c r="P34" i="77"/>
  <c r="P30" i="77"/>
  <c r="P26" i="77"/>
  <c r="P24" i="77"/>
  <c r="P32" i="77"/>
  <c r="P42" i="77"/>
  <c r="K22" i="77"/>
  <c r="N24" i="77"/>
  <c r="K26" i="77"/>
  <c r="N28" i="77"/>
  <c r="K30" i="77"/>
  <c r="N32" i="77"/>
  <c r="K34" i="77"/>
  <c r="N36" i="77"/>
  <c r="P38" i="77"/>
  <c r="P46" i="77"/>
  <c r="P34" i="76"/>
  <c r="P28" i="76"/>
  <c r="P32" i="76"/>
  <c r="P30" i="76"/>
  <c r="P24" i="76"/>
  <c r="P42" i="76"/>
  <c r="O46" i="76"/>
  <c r="P38" i="76"/>
  <c r="N40" i="76"/>
  <c r="N44" i="76"/>
  <c r="P46" i="76"/>
  <c r="P40" i="76"/>
  <c r="P44" i="76"/>
  <c r="J47" i="76"/>
  <c r="P20" i="77" l="1"/>
  <c r="O47" i="77"/>
  <c r="O47" i="76"/>
  <c r="P20" i="76"/>
  <c r="O46" i="75" l="1"/>
  <c r="O44" i="75"/>
  <c r="O42" i="75"/>
  <c r="O40" i="75"/>
  <c r="O38" i="75"/>
  <c r="O36" i="75"/>
  <c r="O32" i="75"/>
  <c r="O30" i="75"/>
  <c r="O26" i="75"/>
  <c r="O24" i="75"/>
  <c r="M46" i="75"/>
  <c r="M44" i="75"/>
  <c r="M42" i="75"/>
  <c r="M40" i="75"/>
  <c r="M38" i="75"/>
  <c r="M36" i="75"/>
  <c r="M34" i="75"/>
  <c r="M32" i="75"/>
  <c r="M30" i="75"/>
  <c r="M28" i="75"/>
  <c r="M24" i="75"/>
  <c r="M22" i="75"/>
  <c r="O22" i="75"/>
  <c r="O20" i="75"/>
  <c r="N46" i="75" l="1"/>
  <c r="J46" i="75"/>
  <c r="K46" i="75" s="1"/>
  <c r="J44" i="75"/>
  <c r="K44" i="75" s="1"/>
  <c r="N42" i="75"/>
  <c r="J42" i="75"/>
  <c r="P42" i="75" s="1"/>
  <c r="J40" i="75"/>
  <c r="K40" i="75" s="1"/>
  <c r="N38" i="75"/>
  <c r="J38" i="75"/>
  <c r="P38" i="75" s="1"/>
  <c r="C38" i="75"/>
  <c r="N36" i="75"/>
  <c r="J36" i="75"/>
  <c r="K36" i="75" s="1"/>
  <c r="N34" i="75"/>
  <c r="J34" i="75"/>
  <c r="N32" i="75"/>
  <c r="J32" i="75"/>
  <c r="K32" i="75" s="1"/>
  <c r="N30" i="75"/>
  <c r="K30" i="75"/>
  <c r="J30" i="75"/>
  <c r="P30" i="75" s="1"/>
  <c r="N28" i="75"/>
  <c r="J28" i="75"/>
  <c r="K26" i="75"/>
  <c r="J26" i="75"/>
  <c r="N24" i="75"/>
  <c r="J24" i="75"/>
  <c r="K24" i="75" s="1"/>
  <c r="N22" i="75"/>
  <c r="K22" i="75"/>
  <c r="J22" i="75"/>
  <c r="P22" i="75" s="1"/>
  <c r="N20" i="75"/>
  <c r="K20" i="75"/>
  <c r="J20" i="75"/>
  <c r="J16" i="75"/>
  <c r="I5" i="75"/>
  <c r="G4" i="75" l="1"/>
  <c r="G5" i="75" s="1"/>
  <c r="O34" i="75"/>
  <c r="P34" i="75" s="1"/>
  <c r="K34" i="75"/>
  <c r="K28" i="75"/>
  <c r="O28" i="75"/>
  <c r="J47" i="75"/>
  <c r="P44" i="75"/>
  <c r="P46" i="75"/>
  <c r="P36" i="75"/>
  <c r="K38" i="75"/>
  <c r="N40" i="75"/>
  <c r="K42" i="75"/>
  <c r="N44" i="75"/>
  <c r="O47" i="75"/>
  <c r="P28" i="75"/>
  <c r="P32" i="75"/>
  <c r="P20" i="75"/>
  <c r="P40" i="75"/>
  <c r="O46" i="74"/>
  <c r="O44" i="74"/>
  <c r="O42" i="74"/>
  <c r="O40" i="74"/>
  <c r="O38" i="74"/>
  <c r="O36" i="74"/>
  <c r="O32" i="74"/>
  <c r="O30" i="74"/>
  <c r="O26" i="74"/>
  <c r="O24" i="74"/>
  <c r="M46" i="74"/>
  <c r="N46" i="74" s="1"/>
  <c r="M44" i="74"/>
  <c r="M42" i="74"/>
  <c r="M40" i="74"/>
  <c r="M38" i="74"/>
  <c r="N38" i="74" s="1"/>
  <c r="M36" i="74"/>
  <c r="M34" i="74"/>
  <c r="N34" i="74" s="1"/>
  <c r="M32" i="74"/>
  <c r="M30" i="74"/>
  <c r="N30" i="74" s="1"/>
  <c r="M28" i="74"/>
  <c r="N28" i="74" s="1"/>
  <c r="M26" i="74"/>
  <c r="M26" i="75" s="1"/>
  <c r="N26" i="75" s="1"/>
  <c r="M24" i="74"/>
  <c r="M22" i="74"/>
  <c r="N22" i="74" s="1"/>
  <c r="O22" i="74"/>
  <c r="O20" i="74"/>
  <c r="J46" i="74"/>
  <c r="J44" i="74"/>
  <c r="K44" i="74" s="1"/>
  <c r="N42" i="74"/>
  <c r="J42" i="74"/>
  <c r="J40" i="74"/>
  <c r="K40" i="74" s="1"/>
  <c r="J38" i="74"/>
  <c r="C38" i="74"/>
  <c r="N36" i="74"/>
  <c r="K36" i="74"/>
  <c r="J36" i="74"/>
  <c r="J34" i="74"/>
  <c r="O34" i="74" s="1"/>
  <c r="N32" i="74"/>
  <c r="K32" i="74"/>
  <c r="J32" i="74"/>
  <c r="K30" i="74"/>
  <c r="J30" i="74"/>
  <c r="J28" i="74"/>
  <c r="K28" i="74" s="1"/>
  <c r="K26" i="74"/>
  <c r="J26" i="74"/>
  <c r="N24" i="74"/>
  <c r="K24" i="74"/>
  <c r="J24" i="74"/>
  <c r="K22" i="74"/>
  <c r="J22" i="74"/>
  <c r="N20" i="74"/>
  <c r="J20" i="74"/>
  <c r="K20" i="74" s="1"/>
  <c r="J16" i="74"/>
  <c r="G4" i="74" s="1"/>
  <c r="I5" i="74"/>
  <c r="I5" i="72"/>
  <c r="O46" i="73"/>
  <c r="O44" i="73"/>
  <c r="O42" i="73"/>
  <c r="O40" i="73"/>
  <c r="O34" i="73"/>
  <c r="O32" i="73"/>
  <c r="O30" i="73"/>
  <c r="O28" i="73"/>
  <c r="O26" i="73"/>
  <c r="O24" i="73"/>
  <c r="M46" i="73"/>
  <c r="M44" i="73"/>
  <c r="M42" i="73"/>
  <c r="N42" i="73" s="1"/>
  <c r="M40" i="73"/>
  <c r="M34" i="73"/>
  <c r="M32" i="73"/>
  <c r="M30" i="73"/>
  <c r="M28" i="73"/>
  <c r="N28" i="73" s="1"/>
  <c r="M26" i="73"/>
  <c r="M24" i="73"/>
  <c r="M22" i="73"/>
  <c r="N22" i="73" s="1"/>
  <c r="O22" i="73"/>
  <c r="O20" i="73"/>
  <c r="G4" i="73"/>
  <c r="N46" i="73"/>
  <c r="J46" i="73"/>
  <c r="K46" i="73" s="1"/>
  <c r="J44" i="73"/>
  <c r="K44" i="73" s="1"/>
  <c r="J42" i="73"/>
  <c r="K42" i="73" s="1"/>
  <c r="J40" i="73"/>
  <c r="K40" i="73" s="1"/>
  <c r="J38" i="73"/>
  <c r="C38" i="73"/>
  <c r="K36" i="73"/>
  <c r="J36" i="73"/>
  <c r="N34" i="73"/>
  <c r="K34" i="73"/>
  <c r="J34" i="73"/>
  <c r="N32" i="73"/>
  <c r="K32" i="73"/>
  <c r="J32" i="73"/>
  <c r="N30" i="73"/>
  <c r="K30" i="73"/>
  <c r="J30" i="73"/>
  <c r="P30" i="73" s="1"/>
  <c r="K28" i="73"/>
  <c r="J28" i="73"/>
  <c r="N26" i="73"/>
  <c r="K26" i="73"/>
  <c r="J26" i="73"/>
  <c r="N24" i="73"/>
  <c r="K24" i="73"/>
  <c r="J24" i="73"/>
  <c r="K22" i="73"/>
  <c r="J22" i="73"/>
  <c r="P22" i="73" s="1"/>
  <c r="N20" i="73"/>
  <c r="J20" i="73"/>
  <c r="K20" i="73" s="1"/>
  <c r="J16" i="73"/>
  <c r="I5" i="73"/>
  <c r="N26" i="74" l="1"/>
  <c r="P26" i="75"/>
  <c r="P24" i="75"/>
  <c r="K34" i="74"/>
  <c r="O28" i="74"/>
  <c r="P28" i="74" s="1"/>
  <c r="P36" i="74"/>
  <c r="P30" i="74"/>
  <c r="P34" i="74"/>
  <c r="P32" i="74"/>
  <c r="P26" i="74"/>
  <c r="P24" i="74"/>
  <c r="P22" i="74"/>
  <c r="G5" i="74"/>
  <c r="K38" i="74"/>
  <c r="P38" i="74"/>
  <c r="N40" i="74"/>
  <c r="K42" i="74"/>
  <c r="P42" i="74"/>
  <c r="N44" i="74"/>
  <c r="K46" i="74"/>
  <c r="P46" i="74"/>
  <c r="P40" i="74"/>
  <c r="P44" i="74"/>
  <c r="J47" i="74"/>
  <c r="P34" i="73"/>
  <c r="P32" i="73"/>
  <c r="P26" i="73"/>
  <c r="P24" i="73"/>
  <c r="G5" i="73"/>
  <c r="P28" i="73"/>
  <c r="P42" i="73"/>
  <c r="P46" i="73"/>
  <c r="K38" i="73"/>
  <c r="N40" i="73"/>
  <c r="N44" i="73"/>
  <c r="P40" i="73"/>
  <c r="P44" i="73"/>
  <c r="J47" i="73"/>
  <c r="O47" i="74" l="1"/>
  <c r="P20" i="74"/>
  <c r="P20" i="73"/>
  <c r="O46" i="72" l="1"/>
  <c r="O44" i="72"/>
  <c r="O42" i="72"/>
  <c r="O40" i="72"/>
  <c r="O34" i="72"/>
  <c r="O32" i="72"/>
  <c r="O30" i="72"/>
  <c r="O28" i="72"/>
  <c r="O26" i="72"/>
  <c r="O24" i="72"/>
  <c r="M46" i="72"/>
  <c r="N46" i="72" s="1"/>
  <c r="M44" i="72"/>
  <c r="M42" i="72"/>
  <c r="M40" i="72"/>
  <c r="M38" i="72"/>
  <c r="M36" i="72"/>
  <c r="M34" i="72"/>
  <c r="N34" i="72" s="1"/>
  <c r="M32" i="72"/>
  <c r="N32" i="72" s="1"/>
  <c r="M30" i="72"/>
  <c r="M28" i="72"/>
  <c r="M26" i="72"/>
  <c r="N26" i="72" s="1"/>
  <c r="M24" i="72"/>
  <c r="N24" i="72" s="1"/>
  <c r="O22" i="72"/>
  <c r="M22" i="72"/>
  <c r="N22" i="72" s="1"/>
  <c r="O20" i="72"/>
  <c r="J46" i="72"/>
  <c r="P46" i="72" s="1"/>
  <c r="J44" i="72"/>
  <c r="K44" i="72" s="1"/>
  <c r="N42" i="72"/>
  <c r="J42" i="72"/>
  <c r="K42" i="72" s="1"/>
  <c r="J40" i="72"/>
  <c r="K40" i="72" s="1"/>
  <c r="J38" i="72"/>
  <c r="K38" i="72" s="1"/>
  <c r="C38" i="72"/>
  <c r="J36" i="72"/>
  <c r="K36" i="72" s="1"/>
  <c r="K34" i="72"/>
  <c r="J34" i="72"/>
  <c r="J32" i="72"/>
  <c r="K32" i="72" s="1"/>
  <c r="N30" i="72"/>
  <c r="K30" i="72"/>
  <c r="J30" i="72"/>
  <c r="P30" i="72" s="1"/>
  <c r="N28" i="72"/>
  <c r="J28" i="72"/>
  <c r="K28" i="72" s="1"/>
  <c r="K26" i="72"/>
  <c r="J26" i="72"/>
  <c r="J24" i="72"/>
  <c r="K24" i="72" s="1"/>
  <c r="K22" i="72"/>
  <c r="J22" i="72"/>
  <c r="N20" i="72"/>
  <c r="J20" i="72"/>
  <c r="K20" i="72" s="1"/>
  <c r="J16" i="72"/>
  <c r="G4" i="72" s="1"/>
  <c r="K32" i="71"/>
  <c r="K30" i="71"/>
  <c r="K34" i="71"/>
  <c r="K36" i="71"/>
  <c r="O38" i="72" l="1"/>
  <c r="O38" i="73" s="1"/>
  <c r="N38" i="72"/>
  <c r="M38" i="73"/>
  <c r="O36" i="72"/>
  <c r="O36" i="73" s="1"/>
  <c r="N36" i="72"/>
  <c r="M36" i="73"/>
  <c r="P34" i="72"/>
  <c r="P26" i="72"/>
  <c r="P22" i="72"/>
  <c r="G5" i="72"/>
  <c r="P44" i="72"/>
  <c r="P42" i="72"/>
  <c r="P24" i="72"/>
  <c r="P28" i="72"/>
  <c r="P32" i="72"/>
  <c r="K46" i="72"/>
  <c r="P20" i="72"/>
  <c r="P40" i="72"/>
  <c r="J47" i="72"/>
  <c r="N40" i="72"/>
  <c r="N44" i="72"/>
  <c r="O46" i="71"/>
  <c r="O44" i="71"/>
  <c r="O42" i="71"/>
  <c r="P42" i="71" s="1"/>
  <c r="O40" i="71"/>
  <c r="O38" i="71"/>
  <c r="P38" i="71" s="1"/>
  <c r="O36" i="71"/>
  <c r="O34" i="71"/>
  <c r="O30" i="71"/>
  <c r="O28" i="71"/>
  <c r="O26" i="71"/>
  <c r="O24" i="71"/>
  <c r="M46" i="71"/>
  <c r="M44" i="71"/>
  <c r="M42" i="71"/>
  <c r="M40" i="71"/>
  <c r="M38" i="71"/>
  <c r="M36" i="71"/>
  <c r="N36" i="71" s="1"/>
  <c r="M34" i="71"/>
  <c r="M32" i="71"/>
  <c r="N32" i="71" s="1"/>
  <c r="M30" i="71"/>
  <c r="M28" i="71"/>
  <c r="M26" i="71"/>
  <c r="M24" i="71"/>
  <c r="M22" i="71"/>
  <c r="N22" i="71" s="1"/>
  <c r="O22" i="71"/>
  <c r="O20" i="71"/>
  <c r="P46" i="71"/>
  <c r="K46" i="71"/>
  <c r="J46" i="71"/>
  <c r="K44" i="71"/>
  <c r="J44" i="71"/>
  <c r="K42" i="71"/>
  <c r="J42" i="71"/>
  <c r="K40" i="71"/>
  <c r="J40" i="71"/>
  <c r="K38" i="71"/>
  <c r="J38" i="71"/>
  <c r="C38" i="71"/>
  <c r="J36" i="71"/>
  <c r="N34" i="71"/>
  <c r="J34" i="71"/>
  <c r="J32" i="71"/>
  <c r="N30" i="71"/>
  <c r="J30" i="71"/>
  <c r="N28" i="71"/>
  <c r="J28" i="71"/>
  <c r="K28" i="71" s="1"/>
  <c r="N26" i="71"/>
  <c r="J26" i="71"/>
  <c r="K26" i="71" s="1"/>
  <c r="J24" i="71"/>
  <c r="K24" i="71" s="1"/>
  <c r="J22" i="71"/>
  <c r="K22" i="71" s="1"/>
  <c r="N20" i="71"/>
  <c r="K20" i="71"/>
  <c r="J20" i="71"/>
  <c r="J16" i="71"/>
  <c r="G4" i="71" s="1"/>
  <c r="G5" i="71" s="1"/>
  <c r="I5" i="71"/>
  <c r="O46" i="70"/>
  <c r="O44" i="70"/>
  <c r="O42" i="70"/>
  <c r="O40" i="70"/>
  <c r="O38" i="70"/>
  <c r="O36" i="70"/>
  <c r="O34" i="70"/>
  <c r="O32" i="70"/>
  <c r="O30" i="70"/>
  <c r="O28" i="70"/>
  <c r="O26" i="70"/>
  <c r="O24" i="70"/>
  <c r="M46" i="70"/>
  <c r="N46" i="70" s="1"/>
  <c r="M44" i="70"/>
  <c r="M42" i="70"/>
  <c r="N42" i="70" s="1"/>
  <c r="M40" i="70"/>
  <c r="M38" i="70"/>
  <c r="N38" i="70" s="1"/>
  <c r="M36" i="70"/>
  <c r="N36" i="70" s="1"/>
  <c r="M34" i="70"/>
  <c r="N34" i="70" s="1"/>
  <c r="M32" i="70"/>
  <c r="N32" i="70" s="1"/>
  <c r="M30" i="70"/>
  <c r="N30" i="70" s="1"/>
  <c r="M28" i="70"/>
  <c r="N28" i="70" s="1"/>
  <c r="M26" i="70"/>
  <c r="N26" i="70" s="1"/>
  <c r="M24" i="70"/>
  <c r="M22" i="70"/>
  <c r="O22" i="70"/>
  <c r="O20" i="70"/>
  <c r="J46" i="70"/>
  <c r="K46" i="70" s="1"/>
  <c r="J44" i="70"/>
  <c r="K44" i="70" s="1"/>
  <c r="J42" i="70"/>
  <c r="K42" i="70" s="1"/>
  <c r="J40" i="70"/>
  <c r="K40" i="70" s="1"/>
  <c r="J38" i="70"/>
  <c r="K38" i="70" s="1"/>
  <c r="C38" i="70"/>
  <c r="K36" i="70"/>
  <c r="J36" i="70"/>
  <c r="J34" i="70"/>
  <c r="J32" i="70"/>
  <c r="J30" i="70"/>
  <c r="K28" i="70"/>
  <c r="J28" i="70"/>
  <c r="J26" i="70"/>
  <c r="N24" i="70"/>
  <c r="K24" i="70"/>
  <c r="J24" i="70"/>
  <c r="J22" i="70"/>
  <c r="K22" i="70" s="1"/>
  <c r="N20" i="70"/>
  <c r="J20" i="70"/>
  <c r="K20" i="70" s="1"/>
  <c r="J16" i="70"/>
  <c r="G4" i="70" s="1"/>
  <c r="I5" i="70"/>
  <c r="I5" i="69"/>
  <c r="G5" i="69"/>
  <c r="O47" i="73" l="1"/>
  <c r="P38" i="72"/>
  <c r="N38" i="73"/>
  <c r="P38" i="73"/>
  <c r="P36" i="72"/>
  <c r="N36" i="73"/>
  <c r="P36" i="73"/>
  <c r="O47" i="72"/>
  <c r="O32" i="71"/>
  <c r="J47" i="71"/>
  <c r="P40" i="71"/>
  <c r="P44" i="71"/>
  <c r="N24" i="71"/>
  <c r="P24" i="71"/>
  <c r="N38" i="71"/>
  <c r="N40" i="71"/>
  <c r="N42" i="71"/>
  <c r="N44" i="71"/>
  <c r="N46" i="71"/>
  <c r="P22" i="71"/>
  <c r="P26" i="71"/>
  <c r="P28" i="71"/>
  <c r="P30" i="71"/>
  <c r="P32" i="71"/>
  <c r="P34" i="71"/>
  <c r="P36" i="71"/>
  <c r="P36" i="70"/>
  <c r="P32" i="70"/>
  <c r="P28" i="70"/>
  <c r="P24" i="70"/>
  <c r="P30" i="70"/>
  <c r="K32" i="70"/>
  <c r="G5" i="70"/>
  <c r="P26" i="70"/>
  <c r="P34" i="70"/>
  <c r="P44" i="70"/>
  <c r="N22" i="70"/>
  <c r="P22" i="70"/>
  <c r="K26" i="70"/>
  <c r="K30" i="70"/>
  <c r="K34" i="70"/>
  <c r="P38" i="70"/>
  <c r="P46" i="70"/>
  <c r="N40" i="70"/>
  <c r="P42" i="70"/>
  <c r="N44" i="70"/>
  <c r="P40" i="70"/>
  <c r="J47" i="70"/>
  <c r="O44" i="69"/>
  <c r="O42" i="69"/>
  <c r="O40" i="69"/>
  <c r="O36" i="69"/>
  <c r="O34" i="69"/>
  <c r="O32" i="69"/>
  <c r="O24" i="69"/>
  <c r="M46" i="69"/>
  <c r="M44" i="69"/>
  <c r="M42" i="69"/>
  <c r="N42" i="69" s="1"/>
  <c r="M40" i="69"/>
  <c r="M38" i="69"/>
  <c r="N38" i="69" s="1"/>
  <c r="M36" i="69"/>
  <c r="M34" i="69"/>
  <c r="M32" i="69"/>
  <c r="M30" i="69"/>
  <c r="M28" i="69"/>
  <c r="N28" i="69" s="1"/>
  <c r="M26" i="69"/>
  <c r="M24" i="69"/>
  <c r="N24" i="69" s="1"/>
  <c r="M22" i="69"/>
  <c r="N22" i="69" s="1"/>
  <c r="O22" i="69"/>
  <c r="O20" i="69"/>
  <c r="N46" i="69"/>
  <c r="J46" i="69"/>
  <c r="O46" i="69" s="1"/>
  <c r="J44" i="69"/>
  <c r="K44" i="69" s="1"/>
  <c r="J42" i="69"/>
  <c r="J40" i="69"/>
  <c r="K40" i="69" s="1"/>
  <c r="J38" i="69"/>
  <c r="O38" i="69" s="1"/>
  <c r="C38" i="69"/>
  <c r="N36" i="69"/>
  <c r="J36" i="69"/>
  <c r="K36" i="69" s="1"/>
  <c r="N34" i="69"/>
  <c r="K34" i="69"/>
  <c r="J34" i="69"/>
  <c r="N32" i="69"/>
  <c r="J32" i="69"/>
  <c r="K32" i="69" s="1"/>
  <c r="N30" i="69"/>
  <c r="J30" i="69"/>
  <c r="O30" i="69" s="1"/>
  <c r="J28" i="69"/>
  <c r="O28" i="69" s="1"/>
  <c r="N26" i="69"/>
  <c r="J26" i="69"/>
  <c r="K26" i="69" s="1"/>
  <c r="J24" i="69"/>
  <c r="K24" i="69" s="1"/>
  <c r="K22" i="69"/>
  <c r="J22" i="69"/>
  <c r="N20" i="69"/>
  <c r="J20" i="69"/>
  <c r="K20" i="69" s="1"/>
  <c r="J16" i="69"/>
  <c r="G4" i="69" s="1"/>
  <c r="P40" i="68"/>
  <c r="M40" i="68"/>
  <c r="O47" i="71" l="1"/>
  <c r="P20" i="71"/>
  <c r="O47" i="70"/>
  <c r="P20" i="70"/>
  <c r="K30" i="69"/>
  <c r="O26" i="69"/>
  <c r="P26" i="69" s="1"/>
  <c r="P46" i="69"/>
  <c r="P34" i="69"/>
  <c r="P42" i="69"/>
  <c r="P30" i="69"/>
  <c r="P28" i="69"/>
  <c r="P22" i="69"/>
  <c r="P24" i="69"/>
  <c r="P32" i="69"/>
  <c r="P36" i="69"/>
  <c r="K38" i="69"/>
  <c r="P38" i="69"/>
  <c r="N40" i="69"/>
  <c r="K42" i="69"/>
  <c r="N44" i="69"/>
  <c r="K46" i="69"/>
  <c r="P20" i="69"/>
  <c r="K28" i="69"/>
  <c r="P40" i="69"/>
  <c r="P44" i="69"/>
  <c r="J47" i="69"/>
  <c r="M44" i="68"/>
  <c r="P42" i="68"/>
  <c r="O47" i="69" l="1"/>
  <c r="M46" i="68"/>
  <c r="M42" i="68"/>
  <c r="N42" i="68" s="1"/>
  <c r="M38" i="68"/>
  <c r="N38" i="68" s="1"/>
  <c r="M36" i="68"/>
  <c r="N36" i="68" s="1"/>
  <c r="M34" i="68"/>
  <c r="M32" i="68"/>
  <c r="N32" i="68" s="1"/>
  <c r="M30" i="68"/>
  <c r="N30" i="68" s="1"/>
  <c r="M28" i="68"/>
  <c r="N28" i="68" s="1"/>
  <c r="M26" i="68"/>
  <c r="N26" i="68" s="1"/>
  <c r="M24" i="68"/>
  <c r="N24" i="68" s="1"/>
  <c r="O44" i="68"/>
  <c r="O42" i="68"/>
  <c r="O40" i="68"/>
  <c r="O36" i="68"/>
  <c r="O34" i="68"/>
  <c r="O32" i="68"/>
  <c r="O26" i="68"/>
  <c r="O24" i="68"/>
  <c r="M22" i="68"/>
  <c r="N22" i="68" s="1"/>
  <c r="O22" i="68"/>
  <c r="O20" i="68"/>
  <c r="N46" i="68"/>
  <c r="J46" i="68"/>
  <c r="K46" i="68" s="1"/>
  <c r="J44" i="68"/>
  <c r="K44" i="68" s="1"/>
  <c r="J42" i="68"/>
  <c r="K42" i="68" s="1"/>
  <c r="J40" i="68"/>
  <c r="K40" i="68" s="1"/>
  <c r="J38" i="68"/>
  <c r="K38" i="68" s="1"/>
  <c r="C38" i="68"/>
  <c r="J36" i="68"/>
  <c r="K36" i="68" s="1"/>
  <c r="N34" i="68"/>
  <c r="K34" i="68"/>
  <c r="J34" i="68"/>
  <c r="J32" i="68"/>
  <c r="K32" i="68" s="1"/>
  <c r="J30" i="68"/>
  <c r="J28" i="68"/>
  <c r="K28" i="68" s="1"/>
  <c r="K26" i="68"/>
  <c r="J26" i="68"/>
  <c r="P26" i="68" s="1"/>
  <c r="J24" i="68"/>
  <c r="K24" i="68" s="1"/>
  <c r="K22" i="68"/>
  <c r="J22" i="68"/>
  <c r="N20" i="68"/>
  <c r="J20" i="68"/>
  <c r="K20" i="68" s="1"/>
  <c r="J16" i="68"/>
  <c r="G4" i="68" s="1"/>
  <c r="J4" i="68"/>
  <c r="O46" i="67"/>
  <c r="O44" i="67"/>
  <c r="O42" i="67"/>
  <c r="O40" i="67"/>
  <c r="O38" i="67"/>
  <c r="O36" i="67"/>
  <c r="O34" i="67"/>
  <c r="O32" i="67"/>
  <c r="O30" i="67"/>
  <c r="O28" i="67"/>
  <c r="O26" i="67"/>
  <c r="O24" i="67"/>
  <c r="M46" i="67"/>
  <c r="M44" i="67"/>
  <c r="N44" i="67" s="1"/>
  <c r="M42" i="67"/>
  <c r="N42" i="67" s="1"/>
  <c r="M40" i="67"/>
  <c r="N40" i="67" s="1"/>
  <c r="M38" i="67"/>
  <c r="M36" i="67"/>
  <c r="M34" i="67"/>
  <c r="N34" i="67" s="1"/>
  <c r="M32" i="67"/>
  <c r="M30" i="67"/>
  <c r="M28" i="67"/>
  <c r="M26" i="67"/>
  <c r="N26" i="67" s="1"/>
  <c r="M24" i="67"/>
  <c r="O22" i="67"/>
  <c r="M22" i="67"/>
  <c r="N22" i="67" s="1"/>
  <c r="O20" i="67"/>
  <c r="N46" i="67"/>
  <c r="J46" i="67"/>
  <c r="K46" i="67" s="1"/>
  <c r="K44" i="67"/>
  <c r="J44" i="67"/>
  <c r="J42" i="67"/>
  <c r="K42" i="67" s="1"/>
  <c r="K40" i="67"/>
  <c r="J40" i="67"/>
  <c r="J38" i="67"/>
  <c r="K38" i="67" s="1"/>
  <c r="C38" i="67"/>
  <c r="N38" i="67" s="1"/>
  <c r="J36" i="67"/>
  <c r="K36" i="67" s="1"/>
  <c r="J34" i="67"/>
  <c r="K34" i="67" s="1"/>
  <c r="J32" i="67"/>
  <c r="K32" i="67" s="1"/>
  <c r="N30" i="67"/>
  <c r="J30" i="67"/>
  <c r="K30" i="67" s="1"/>
  <c r="J28" i="67"/>
  <c r="K28" i="67" s="1"/>
  <c r="J26" i="67"/>
  <c r="K26" i="67" s="1"/>
  <c r="J24" i="67"/>
  <c r="K24" i="67" s="1"/>
  <c r="J22" i="67"/>
  <c r="K22" i="67" s="1"/>
  <c r="N20" i="67"/>
  <c r="K20" i="67"/>
  <c r="J20" i="67"/>
  <c r="J16" i="67"/>
  <c r="G4" i="67" s="1"/>
  <c r="J4" i="67"/>
  <c r="O46" i="66"/>
  <c r="O44" i="66"/>
  <c r="O42" i="66"/>
  <c r="O40" i="66"/>
  <c r="O38" i="66"/>
  <c r="O36" i="66"/>
  <c r="O34" i="66"/>
  <c r="O32" i="66"/>
  <c r="O30" i="66"/>
  <c r="O28" i="66"/>
  <c r="O26" i="66"/>
  <c r="O24" i="66"/>
  <c r="M46" i="66"/>
  <c r="M44" i="66"/>
  <c r="M42" i="66"/>
  <c r="M40" i="66"/>
  <c r="M38" i="66"/>
  <c r="M36" i="66"/>
  <c r="N36" i="66" s="1"/>
  <c r="M34" i="66"/>
  <c r="N34" i="66" s="1"/>
  <c r="M32" i="66"/>
  <c r="M30" i="66"/>
  <c r="M28" i="66"/>
  <c r="N28" i="66" s="1"/>
  <c r="M26" i="66"/>
  <c r="M24" i="66"/>
  <c r="N24" i="66" s="1"/>
  <c r="O22" i="66"/>
  <c r="M22" i="66"/>
  <c r="O20" i="66"/>
  <c r="G4" i="66"/>
  <c r="N46" i="66"/>
  <c r="J46" i="66"/>
  <c r="K46" i="66" s="1"/>
  <c r="J44" i="66"/>
  <c r="K44" i="66" s="1"/>
  <c r="N42" i="66"/>
  <c r="J42" i="66"/>
  <c r="K42" i="66" s="1"/>
  <c r="J40" i="66"/>
  <c r="K40" i="66" s="1"/>
  <c r="N38" i="66"/>
  <c r="J38" i="66"/>
  <c r="K38" i="66" s="1"/>
  <c r="C38" i="66"/>
  <c r="K36" i="66"/>
  <c r="J36" i="66"/>
  <c r="K34" i="66"/>
  <c r="J34" i="66"/>
  <c r="P34" i="66" s="1"/>
  <c r="N32" i="66"/>
  <c r="K32" i="66"/>
  <c r="J32" i="66"/>
  <c r="N30" i="66"/>
  <c r="J30" i="66"/>
  <c r="J28" i="66"/>
  <c r="N26" i="66"/>
  <c r="K26" i="66"/>
  <c r="J26" i="66"/>
  <c r="K24" i="66"/>
  <c r="J24" i="66"/>
  <c r="P24" i="66" s="1"/>
  <c r="N22" i="66"/>
  <c r="K22" i="66"/>
  <c r="J22" i="66"/>
  <c r="N20" i="66"/>
  <c r="J20" i="66"/>
  <c r="K20" i="66" s="1"/>
  <c r="J16" i="66"/>
  <c r="J4" i="66"/>
  <c r="O46" i="65"/>
  <c r="O44" i="65"/>
  <c r="O42" i="65"/>
  <c r="O40" i="65"/>
  <c r="O36" i="65"/>
  <c r="O34" i="65"/>
  <c r="O32" i="65"/>
  <c r="O26" i="65"/>
  <c r="O24" i="65"/>
  <c r="M46" i="65"/>
  <c r="M44" i="65"/>
  <c r="M42" i="65"/>
  <c r="M40" i="65"/>
  <c r="M38" i="65"/>
  <c r="M36" i="65"/>
  <c r="M34" i="65"/>
  <c r="M32" i="65"/>
  <c r="M30" i="65"/>
  <c r="M28" i="65"/>
  <c r="M26" i="65"/>
  <c r="M24" i="65"/>
  <c r="M22" i="65"/>
  <c r="O22" i="65"/>
  <c r="O20" i="65"/>
  <c r="O46" i="68" l="1"/>
  <c r="P46" i="68" s="1"/>
  <c r="O38" i="68"/>
  <c r="P38" i="68" s="1"/>
  <c r="O30" i="68"/>
  <c r="P30" i="68" s="1"/>
  <c r="K30" i="68"/>
  <c r="O28" i="68"/>
  <c r="P28" i="68" s="1"/>
  <c r="P34" i="68"/>
  <c r="P22" i="68"/>
  <c r="N40" i="68"/>
  <c r="J47" i="68"/>
  <c r="P24" i="68"/>
  <c r="P32" i="68"/>
  <c r="P36" i="68"/>
  <c r="N44" i="68"/>
  <c r="P20" i="68"/>
  <c r="P44" i="68"/>
  <c r="P40" i="67"/>
  <c r="J47" i="67"/>
  <c r="P22" i="67"/>
  <c r="P26" i="67"/>
  <c r="P30" i="67"/>
  <c r="P34" i="67"/>
  <c r="P44" i="67"/>
  <c r="N24" i="67"/>
  <c r="N28" i="67"/>
  <c r="N32" i="67"/>
  <c r="N36" i="67"/>
  <c r="P38" i="67"/>
  <c r="P42" i="67"/>
  <c r="P46" i="67"/>
  <c r="P24" i="67"/>
  <c r="P28" i="67"/>
  <c r="P32" i="67"/>
  <c r="P36" i="67"/>
  <c r="P20" i="67"/>
  <c r="P36" i="66"/>
  <c r="P30" i="66"/>
  <c r="P32" i="66"/>
  <c r="P28" i="66"/>
  <c r="P26" i="66"/>
  <c r="P22" i="66"/>
  <c r="K28" i="66"/>
  <c r="K30" i="66"/>
  <c r="P42" i="66"/>
  <c r="P46" i="66"/>
  <c r="P38" i="66"/>
  <c r="N40" i="66"/>
  <c r="N44" i="66"/>
  <c r="P40" i="66"/>
  <c r="P44" i="66"/>
  <c r="J47" i="66"/>
  <c r="O47" i="68" l="1"/>
  <c r="O47" i="67"/>
  <c r="O47" i="66"/>
  <c r="P20" i="66"/>
  <c r="N46" i="65" l="1"/>
  <c r="J46" i="65"/>
  <c r="K46" i="65" s="1"/>
  <c r="J44" i="65"/>
  <c r="K44" i="65" s="1"/>
  <c r="N42" i="65"/>
  <c r="J42" i="65"/>
  <c r="P42" i="65" s="1"/>
  <c r="J40" i="65"/>
  <c r="K40" i="65" s="1"/>
  <c r="N38" i="65"/>
  <c r="J38" i="65"/>
  <c r="C38" i="65"/>
  <c r="N36" i="65"/>
  <c r="J36" i="65"/>
  <c r="K36" i="65" s="1"/>
  <c r="N34" i="65"/>
  <c r="K34" i="65"/>
  <c r="J34" i="65"/>
  <c r="P34" i="65" s="1"/>
  <c r="N32" i="65"/>
  <c r="J32" i="65"/>
  <c r="K32" i="65" s="1"/>
  <c r="N30" i="65"/>
  <c r="K30" i="65"/>
  <c r="J30" i="65"/>
  <c r="N28" i="65"/>
  <c r="J28" i="65"/>
  <c r="N26" i="65"/>
  <c r="K26" i="65"/>
  <c r="J26" i="65"/>
  <c r="P26" i="65" s="1"/>
  <c r="N24" i="65"/>
  <c r="J24" i="65"/>
  <c r="K24" i="65" s="1"/>
  <c r="N22" i="65"/>
  <c r="K22" i="65"/>
  <c r="J22" i="65"/>
  <c r="P22" i="65" s="1"/>
  <c r="N20" i="65"/>
  <c r="K20" i="65"/>
  <c r="J20" i="65"/>
  <c r="J16" i="65"/>
  <c r="G4" i="65" s="1"/>
  <c r="J4" i="65"/>
  <c r="O46" i="64"/>
  <c r="O44" i="64"/>
  <c r="O42" i="64"/>
  <c r="O40" i="64"/>
  <c r="O38" i="64"/>
  <c r="O36" i="64"/>
  <c r="O34" i="64"/>
  <c r="O32" i="64"/>
  <c r="O30" i="64"/>
  <c r="O28" i="64"/>
  <c r="O26" i="64"/>
  <c r="O24" i="64"/>
  <c r="M46" i="64"/>
  <c r="M44" i="64"/>
  <c r="M42" i="64"/>
  <c r="M40" i="64"/>
  <c r="M38" i="64"/>
  <c r="M36" i="64"/>
  <c r="M34" i="64"/>
  <c r="M32" i="64"/>
  <c r="M30" i="64"/>
  <c r="M28" i="64"/>
  <c r="M26" i="64"/>
  <c r="M24" i="64"/>
  <c r="O22" i="64"/>
  <c r="M22" i="64"/>
  <c r="O20" i="64"/>
  <c r="O38" i="65" l="1"/>
  <c r="P38" i="65" s="1"/>
  <c r="O30" i="65"/>
  <c r="P30" i="65" s="1"/>
  <c r="K28" i="65"/>
  <c r="O28" i="65"/>
  <c r="J47" i="65"/>
  <c r="P46" i="65"/>
  <c r="P32" i="65"/>
  <c r="P36" i="65"/>
  <c r="K38" i="65"/>
  <c r="N40" i="65"/>
  <c r="K42" i="65"/>
  <c r="N44" i="65"/>
  <c r="P20" i="65"/>
  <c r="P40" i="65"/>
  <c r="P44" i="65"/>
  <c r="N46" i="64"/>
  <c r="J46" i="64"/>
  <c r="K46" i="64" s="1"/>
  <c r="P44" i="64"/>
  <c r="J44" i="64"/>
  <c r="K44" i="64" s="1"/>
  <c r="P42" i="64"/>
  <c r="J42" i="64"/>
  <c r="K42" i="64" s="1"/>
  <c r="P40" i="64"/>
  <c r="J40" i="64"/>
  <c r="K40" i="64" s="1"/>
  <c r="J38" i="64"/>
  <c r="K38" i="64" s="1"/>
  <c r="C38" i="64"/>
  <c r="P36" i="64"/>
  <c r="N36" i="64"/>
  <c r="K36" i="64"/>
  <c r="J36" i="64"/>
  <c r="P34" i="64"/>
  <c r="N34" i="64"/>
  <c r="K34" i="64"/>
  <c r="J34" i="64"/>
  <c r="P32" i="64"/>
  <c r="N32" i="64"/>
  <c r="K32" i="64"/>
  <c r="J32" i="64"/>
  <c r="N30" i="64"/>
  <c r="J30" i="64"/>
  <c r="P30" i="64" s="1"/>
  <c r="N28" i="64"/>
  <c r="J28" i="64"/>
  <c r="K28" i="64" s="1"/>
  <c r="P26" i="64"/>
  <c r="N26" i="64"/>
  <c r="K26" i="64"/>
  <c r="J26" i="64"/>
  <c r="P24" i="64"/>
  <c r="N24" i="64"/>
  <c r="K24" i="64"/>
  <c r="J24" i="64"/>
  <c r="P22" i="64"/>
  <c r="N22" i="64"/>
  <c r="K22" i="64"/>
  <c r="J22" i="64"/>
  <c r="N20" i="64"/>
  <c r="J20" i="64"/>
  <c r="K20" i="64" s="1"/>
  <c r="J16" i="64"/>
  <c r="G4" i="64" s="1"/>
  <c r="J4" i="64"/>
  <c r="G4" i="63"/>
  <c r="J4" i="63"/>
  <c r="M46" i="63"/>
  <c r="M44" i="63"/>
  <c r="M42" i="63"/>
  <c r="M40" i="63"/>
  <c r="M38" i="63"/>
  <c r="M36" i="63"/>
  <c r="M34" i="63"/>
  <c r="M32" i="63"/>
  <c r="M30" i="63"/>
  <c r="M28" i="63"/>
  <c r="M26" i="63"/>
  <c r="M24" i="63"/>
  <c r="O46" i="63"/>
  <c r="O44" i="63"/>
  <c r="O42" i="63"/>
  <c r="O40" i="63"/>
  <c r="O38" i="63"/>
  <c r="O36" i="63"/>
  <c r="O34" i="63"/>
  <c r="O32" i="63"/>
  <c r="O30" i="63"/>
  <c r="O28" i="63"/>
  <c r="O26" i="63"/>
  <c r="O24" i="63"/>
  <c r="M22" i="63"/>
  <c r="O22" i="63"/>
  <c r="O20" i="63"/>
  <c r="O47" i="65" l="1"/>
  <c r="P28" i="65"/>
  <c r="P24" i="65"/>
  <c r="P28" i="64"/>
  <c r="J47" i="64"/>
  <c r="P38" i="64"/>
  <c r="K30" i="64"/>
  <c r="P46" i="64"/>
  <c r="N38" i="64"/>
  <c r="N40" i="64"/>
  <c r="N42" i="64"/>
  <c r="N44" i="64"/>
  <c r="N46" i="63"/>
  <c r="J46" i="63"/>
  <c r="P46" i="63" s="1"/>
  <c r="J44" i="63"/>
  <c r="K44" i="63" s="1"/>
  <c r="N42" i="63"/>
  <c r="J42" i="63"/>
  <c r="P42" i="63" s="1"/>
  <c r="J40" i="63"/>
  <c r="K40" i="63" s="1"/>
  <c r="N38" i="63"/>
  <c r="J38" i="63"/>
  <c r="P38" i="63" s="1"/>
  <c r="C38" i="63"/>
  <c r="N36" i="63"/>
  <c r="J36" i="63"/>
  <c r="K36" i="63" s="1"/>
  <c r="N34" i="63"/>
  <c r="K34" i="63"/>
  <c r="J34" i="63"/>
  <c r="P34" i="63" s="1"/>
  <c r="N32" i="63"/>
  <c r="J32" i="63"/>
  <c r="K32" i="63" s="1"/>
  <c r="N30" i="63"/>
  <c r="J30" i="63"/>
  <c r="N28" i="63"/>
  <c r="J28" i="63"/>
  <c r="K28" i="63" s="1"/>
  <c r="N26" i="63"/>
  <c r="K26" i="63"/>
  <c r="J26" i="63"/>
  <c r="P26" i="63" s="1"/>
  <c r="N24" i="63"/>
  <c r="J24" i="63"/>
  <c r="K24" i="63" s="1"/>
  <c r="N22" i="63"/>
  <c r="K22" i="63"/>
  <c r="J22" i="63"/>
  <c r="P22" i="63" s="1"/>
  <c r="N20" i="63"/>
  <c r="K20" i="63"/>
  <c r="J20" i="63"/>
  <c r="J16" i="63"/>
  <c r="M46" i="62"/>
  <c r="M44" i="62"/>
  <c r="M42" i="62"/>
  <c r="M40" i="62"/>
  <c r="M38" i="62"/>
  <c r="M36" i="62"/>
  <c r="M34" i="62"/>
  <c r="M32" i="62"/>
  <c r="M30" i="62"/>
  <c r="M28" i="62"/>
  <c r="M26" i="62"/>
  <c r="M24" i="62"/>
  <c r="O46" i="62"/>
  <c r="O44" i="62"/>
  <c r="O42" i="62"/>
  <c r="O40" i="62"/>
  <c r="O38" i="62"/>
  <c r="O36" i="62"/>
  <c r="O34" i="62"/>
  <c r="O32" i="62"/>
  <c r="O30" i="62"/>
  <c r="O28" i="62"/>
  <c r="O26" i="62"/>
  <c r="O24" i="62"/>
  <c r="M22" i="62"/>
  <c r="O22" i="62"/>
  <c r="O20" i="62"/>
  <c r="O47" i="64" l="1"/>
  <c r="P20" i="64"/>
  <c r="P30" i="63"/>
  <c r="K30" i="63"/>
  <c r="J47" i="63"/>
  <c r="O47" i="63"/>
  <c r="P36" i="63"/>
  <c r="K38" i="63"/>
  <c r="N40" i="63"/>
  <c r="K42" i="63"/>
  <c r="N44" i="63"/>
  <c r="K46" i="63"/>
  <c r="P28" i="63"/>
  <c r="P32" i="63"/>
  <c r="P20" i="63"/>
  <c r="P40" i="63"/>
  <c r="P44" i="63"/>
  <c r="N46" i="62"/>
  <c r="J46" i="62"/>
  <c r="K46" i="62" s="1"/>
  <c r="J44" i="62"/>
  <c r="K44" i="62" s="1"/>
  <c r="N42" i="62"/>
  <c r="J42" i="62"/>
  <c r="K42" i="62" s="1"/>
  <c r="J40" i="62"/>
  <c r="K40" i="62" s="1"/>
  <c r="N38" i="62"/>
  <c r="J38" i="62"/>
  <c r="K38" i="62" s="1"/>
  <c r="C38" i="62"/>
  <c r="J36" i="62"/>
  <c r="K36" i="62" s="1"/>
  <c r="N34" i="62"/>
  <c r="J34" i="62"/>
  <c r="K34" i="62" s="1"/>
  <c r="J32" i="62"/>
  <c r="K32" i="62" s="1"/>
  <c r="N30" i="62"/>
  <c r="J30" i="62"/>
  <c r="K30" i="62" s="1"/>
  <c r="J28" i="62"/>
  <c r="K28" i="62" s="1"/>
  <c r="N26" i="62"/>
  <c r="J26" i="62"/>
  <c r="K26" i="62" s="1"/>
  <c r="J24" i="62"/>
  <c r="K24" i="62" s="1"/>
  <c r="N22" i="62"/>
  <c r="J22" i="62"/>
  <c r="K22" i="62" s="1"/>
  <c r="N20" i="62"/>
  <c r="K20" i="62"/>
  <c r="J20" i="62"/>
  <c r="J16" i="62"/>
  <c r="G4" i="62" s="1"/>
  <c r="O47" i="61"/>
  <c r="O46" i="61"/>
  <c r="O44" i="61"/>
  <c r="O42" i="61"/>
  <c r="O40" i="61"/>
  <c r="O38" i="61"/>
  <c r="O36" i="61"/>
  <c r="O34" i="61"/>
  <c r="O32" i="61"/>
  <c r="O30" i="61"/>
  <c r="O28" i="61"/>
  <c r="O26" i="61"/>
  <c r="O24" i="61"/>
  <c r="M46" i="61"/>
  <c r="M44" i="61"/>
  <c r="M42" i="61"/>
  <c r="M40" i="61"/>
  <c r="M38" i="61"/>
  <c r="M36" i="61"/>
  <c r="M34" i="61"/>
  <c r="M32" i="61"/>
  <c r="M30" i="61"/>
  <c r="M28" i="61"/>
  <c r="M26" i="61"/>
  <c r="M24" i="61"/>
  <c r="O22" i="61"/>
  <c r="M22" i="61"/>
  <c r="O20" i="61"/>
  <c r="P24" i="63" l="1"/>
  <c r="J47" i="62"/>
  <c r="P32" i="62"/>
  <c r="P46" i="62"/>
  <c r="P24" i="62"/>
  <c r="P22" i="62"/>
  <c r="P26" i="62"/>
  <c r="P30" i="62"/>
  <c r="P34" i="62"/>
  <c r="N24" i="62"/>
  <c r="N28" i="62"/>
  <c r="N32" i="62"/>
  <c r="N36" i="62"/>
  <c r="P38" i="62"/>
  <c r="P42" i="62"/>
  <c r="P28" i="62"/>
  <c r="P36" i="62"/>
  <c r="N40" i="62"/>
  <c r="N44" i="62"/>
  <c r="P20" i="62"/>
  <c r="P40" i="62"/>
  <c r="P44" i="62"/>
  <c r="N46" i="61"/>
  <c r="J46" i="61"/>
  <c r="K46" i="61" s="1"/>
  <c r="J44" i="61"/>
  <c r="K44" i="61" s="1"/>
  <c r="N42" i="61"/>
  <c r="J42" i="61"/>
  <c r="K42" i="61" s="1"/>
  <c r="J40" i="61"/>
  <c r="K40" i="61" s="1"/>
  <c r="N38" i="61"/>
  <c r="J38" i="61"/>
  <c r="K38" i="61" s="1"/>
  <c r="C38" i="61"/>
  <c r="N36" i="61"/>
  <c r="K36" i="61"/>
  <c r="J36" i="61"/>
  <c r="P36" i="61" s="1"/>
  <c r="N34" i="61"/>
  <c r="K34" i="61"/>
  <c r="J34" i="61"/>
  <c r="P34" i="61" s="1"/>
  <c r="N32" i="61"/>
  <c r="K32" i="61"/>
  <c r="J32" i="61"/>
  <c r="P32" i="61" s="1"/>
  <c r="N30" i="61"/>
  <c r="J30" i="61"/>
  <c r="P30" i="61" s="1"/>
  <c r="N28" i="61"/>
  <c r="K28" i="61"/>
  <c r="J28" i="61"/>
  <c r="P28" i="61" s="1"/>
  <c r="N26" i="61"/>
  <c r="J26" i="61"/>
  <c r="P26" i="61" s="1"/>
  <c r="N24" i="61"/>
  <c r="K24" i="61"/>
  <c r="J24" i="61"/>
  <c r="P24" i="61" s="1"/>
  <c r="N22" i="61"/>
  <c r="K22" i="61"/>
  <c r="J22" i="61"/>
  <c r="P22" i="61" s="1"/>
  <c r="N20" i="61"/>
  <c r="J20" i="61"/>
  <c r="K20" i="61" s="1"/>
  <c r="J16" i="61"/>
  <c r="G4" i="61" s="1"/>
  <c r="M46" i="60"/>
  <c r="M44" i="60"/>
  <c r="M42" i="60"/>
  <c r="N42" i="60" s="1"/>
  <c r="M40" i="60"/>
  <c r="M38" i="60"/>
  <c r="M36" i="60"/>
  <c r="N36" i="60" s="1"/>
  <c r="M34" i="60"/>
  <c r="M32" i="60"/>
  <c r="N32" i="60" s="1"/>
  <c r="M30" i="60"/>
  <c r="M28" i="60"/>
  <c r="N28" i="60" s="1"/>
  <c r="M26" i="60"/>
  <c r="M24" i="60"/>
  <c r="N24" i="60" s="1"/>
  <c r="O46" i="60"/>
  <c r="O44" i="60"/>
  <c r="O42" i="60"/>
  <c r="O40" i="60"/>
  <c r="O36" i="60"/>
  <c r="O34" i="60"/>
  <c r="O32" i="60"/>
  <c r="O28" i="60"/>
  <c r="O24" i="60"/>
  <c r="O22" i="60"/>
  <c r="M22" i="60"/>
  <c r="N22" i="60" s="1"/>
  <c r="O20" i="60"/>
  <c r="N46" i="60"/>
  <c r="J46" i="60"/>
  <c r="K46" i="60" s="1"/>
  <c r="J44" i="60"/>
  <c r="K44" i="60" s="1"/>
  <c r="J42" i="60"/>
  <c r="K42" i="60" s="1"/>
  <c r="J40" i="60"/>
  <c r="K40" i="60" s="1"/>
  <c r="N38" i="60"/>
  <c r="J38" i="60"/>
  <c r="O38" i="60" s="1"/>
  <c r="C38" i="60"/>
  <c r="J36" i="60"/>
  <c r="K36" i="60" s="1"/>
  <c r="N34" i="60"/>
  <c r="K34" i="60"/>
  <c r="J34" i="60"/>
  <c r="J32" i="60"/>
  <c r="K32" i="60" s="1"/>
  <c r="N30" i="60"/>
  <c r="J30" i="60"/>
  <c r="O30" i="60" s="1"/>
  <c r="J28" i="60"/>
  <c r="K28" i="60" s="1"/>
  <c r="N26" i="60"/>
  <c r="J26" i="60"/>
  <c r="O26" i="60" s="1"/>
  <c r="J24" i="60"/>
  <c r="K24" i="60" s="1"/>
  <c r="K22" i="60"/>
  <c r="J22" i="60"/>
  <c r="N20" i="60"/>
  <c r="J20" i="60"/>
  <c r="K20" i="60" s="1"/>
  <c r="J16" i="60"/>
  <c r="G4" i="60" s="1"/>
  <c r="M46" i="59"/>
  <c r="M42" i="59"/>
  <c r="N42" i="59" s="1"/>
  <c r="M40" i="59"/>
  <c r="M38" i="59"/>
  <c r="N38" i="59" s="1"/>
  <c r="M36" i="59"/>
  <c r="M34" i="59"/>
  <c r="M32" i="59"/>
  <c r="M24" i="59"/>
  <c r="N24" i="59" s="1"/>
  <c r="O46" i="59"/>
  <c r="O42" i="59"/>
  <c r="O40" i="59"/>
  <c r="O38" i="59"/>
  <c r="O36" i="59"/>
  <c r="O32" i="59"/>
  <c r="O24" i="59"/>
  <c r="M22" i="59"/>
  <c r="O22" i="59"/>
  <c r="O20" i="59"/>
  <c r="N46" i="59"/>
  <c r="J46" i="59"/>
  <c r="K46" i="59" s="1"/>
  <c r="J44" i="59"/>
  <c r="K44" i="59" s="1"/>
  <c r="J42" i="59"/>
  <c r="K42" i="59" s="1"/>
  <c r="J40" i="59"/>
  <c r="K40" i="59" s="1"/>
  <c r="J38" i="59"/>
  <c r="K38" i="59" s="1"/>
  <c r="C38" i="59"/>
  <c r="N36" i="59"/>
  <c r="J36" i="59"/>
  <c r="P36" i="59" s="1"/>
  <c r="N34" i="59"/>
  <c r="K34" i="59"/>
  <c r="J34" i="59"/>
  <c r="N32" i="59"/>
  <c r="J32" i="59"/>
  <c r="P32" i="59" s="1"/>
  <c r="K30" i="59"/>
  <c r="J30" i="59"/>
  <c r="J28" i="59"/>
  <c r="J26" i="59"/>
  <c r="K26" i="59" s="1"/>
  <c r="J24" i="59"/>
  <c r="N22" i="59"/>
  <c r="K22" i="59"/>
  <c r="J22" i="59"/>
  <c r="N20" i="59"/>
  <c r="K20" i="59"/>
  <c r="J20" i="59"/>
  <c r="J16" i="59"/>
  <c r="M46" i="58"/>
  <c r="N46" i="58" s="1"/>
  <c r="M44" i="58"/>
  <c r="M44" i="59" s="1"/>
  <c r="M42" i="58"/>
  <c r="N42" i="58" s="1"/>
  <c r="M40" i="58"/>
  <c r="M38" i="58"/>
  <c r="M36" i="58"/>
  <c r="N36" i="58" s="1"/>
  <c r="M34" i="58"/>
  <c r="M32" i="58"/>
  <c r="N32" i="58" s="1"/>
  <c r="M30" i="58"/>
  <c r="M30" i="59" s="1"/>
  <c r="N30" i="59" s="1"/>
  <c r="M24" i="58"/>
  <c r="N24" i="58" s="1"/>
  <c r="O46" i="58"/>
  <c r="O42" i="58"/>
  <c r="O40" i="58"/>
  <c r="O38" i="58"/>
  <c r="O36" i="58"/>
  <c r="O32" i="58"/>
  <c r="O24" i="58"/>
  <c r="M22" i="58"/>
  <c r="O22" i="58"/>
  <c r="O20" i="58"/>
  <c r="J46" i="58"/>
  <c r="K46" i="58" s="1"/>
  <c r="J44" i="58"/>
  <c r="K44" i="58" s="1"/>
  <c r="J42" i="58"/>
  <c r="K42" i="58" s="1"/>
  <c r="J40" i="58"/>
  <c r="K40" i="58" s="1"/>
  <c r="N38" i="58"/>
  <c r="J38" i="58"/>
  <c r="K38" i="58" s="1"/>
  <c r="C38" i="58"/>
  <c r="J36" i="58"/>
  <c r="K36" i="58" s="1"/>
  <c r="N34" i="58"/>
  <c r="K34" i="58"/>
  <c r="J34" i="58"/>
  <c r="J32" i="58"/>
  <c r="K32" i="58" s="1"/>
  <c r="N30" i="58"/>
  <c r="J30" i="58"/>
  <c r="J28" i="58"/>
  <c r="K28" i="58" s="1"/>
  <c r="J26" i="58"/>
  <c r="K26" i="58" s="1"/>
  <c r="J24" i="58"/>
  <c r="K24" i="58" s="1"/>
  <c r="N22" i="58"/>
  <c r="K22" i="58"/>
  <c r="J22" i="58"/>
  <c r="N20" i="58"/>
  <c r="J20" i="58"/>
  <c r="K20" i="58" s="1"/>
  <c r="J16" i="58"/>
  <c r="G4" i="58" s="1"/>
  <c r="M46" i="57"/>
  <c r="N46" i="57" s="1"/>
  <c r="M44" i="57"/>
  <c r="M42" i="57"/>
  <c r="N42" i="57" s="1"/>
  <c r="M40" i="57"/>
  <c r="M38" i="57"/>
  <c r="M36" i="57"/>
  <c r="N36" i="57" s="1"/>
  <c r="M34" i="57"/>
  <c r="N34" i="57" s="1"/>
  <c r="M32" i="57"/>
  <c r="M30" i="57"/>
  <c r="N30" i="57" s="1"/>
  <c r="M28" i="57"/>
  <c r="N28" i="57" s="1"/>
  <c r="M26" i="57"/>
  <c r="N26" i="57" s="1"/>
  <c r="M24" i="57"/>
  <c r="N24" i="57" s="1"/>
  <c r="O46" i="57"/>
  <c r="O42" i="57"/>
  <c r="O40" i="57"/>
  <c r="O38" i="57"/>
  <c r="O36" i="57"/>
  <c r="O32" i="57"/>
  <c r="O26" i="57"/>
  <c r="O24" i="57"/>
  <c r="M22" i="57"/>
  <c r="N22" i="57" s="1"/>
  <c r="O22" i="57"/>
  <c r="O20" i="57"/>
  <c r="G4" i="57"/>
  <c r="J46" i="57"/>
  <c r="J44" i="57"/>
  <c r="K44" i="57" s="1"/>
  <c r="J42" i="57"/>
  <c r="J40" i="57"/>
  <c r="K40" i="57" s="1"/>
  <c r="N38" i="57"/>
  <c r="J38" i="57"/>
  <c r="C38" i="57"/>
  <c r="K36" i="57"/>
  <c r="J36" i="57"/>
  <c r="J34" i="57"/>
  <c r="O34" i="57" s="1"/>
  <c r="O34" i="58" s="1"/>
  <c r="O34" i="59" s="1"/>
  <c r="N32" i="57"/>
  <c r="J32" i="57"/>
  <c r="J30" i="57"/>
  <c r="K30" i="57" s="1"/>
  <c r="J28" i="57"/>
  <c r="O28" i="57" s="1"/>
  <c r="O28" i="58" s="1"/>
  <c r="J26" i="57"/>
  <c r="K26" i="57" s="1"/>
  <c r="J24" i="57"/>
  <c r="K22" i="57"/>
  <c r="J22" i="57"/>
  <c r="N20" i="57"/>
  <c r="J20" i="57"/>
  <c r="K20" i="57" s="1"/>
  <c r="J16" i="57"/>
  <c r="O46" i="56"/>
  <c r="O47" i="56" s="1"/>
  <c r="G4" i="56"/>
  <c r="O44" i="56"/>
  <c r="M46" i="56"/>
  <c r="M44" i="56"/>
  <c r="M42" i="56"/>
  <c r="M40" i="56"/>
  <c r="M38" i="56"/>
  <c r="N38" i="56" s="1"/>
  <c r="M36" i="56"/>
  <c r="N36" i="56" s="1"/>
  <c r="M34" i="56"/>
  <c r="N34" i="56" s="1"/>
  <c r="M32" i="56"/>
  <c r="N32" i="56" s="1"/>
  <c r="M30" i="56"/>
  <c r="M28" i="56"/>
  <c r="N28" i="56" s="1"/>
  <c r="M26" i="56"/>
  <c r="N26" i="56" s="1"/>
  <c r="M24" i="56"/>
  <c r="N30" i="56"/>
  <c r="O42" i="56"/>
  <c r="O40" i="56"/>
  <c r="O38" i="56"/>
  <c r="O36" i="56"/>
  <c r="O34" i="56"/>
  <c r="O32" i="56"/>
  <c r="O30" i="56"/>
  <c r="O28" i="56"/>
  <c r="O26" i="56"/>
  <c r="O24" i="56"/>
  <c r="M22" i="56"/>
  <c r="O20" i="56"/>
  <c r="O22" i="56"/>
  <c r="N46" i="56"/>
  <c r="J46" i="56"/>
  <c r="K46" i="56" s="1"/>
  <c r="J44" i="56"/>
  <c r="K44" i="56" s="1"/>
  <c r="N42" i="56"/>
  <c r="J42" i="56"/>
  <c r="K42" i="56" s="1"/>
  <c r="J40" i="56"/>
  <c r="K40" i="56" s="1"/>
  <c r="J38" i="56"/>
  <c r="K38" i="56" s="1"/>
  <c r="C38" i="56"/>
  <c r="J36" i="56"/>
  <c r="K36" i="56" s="1"/>
  <c r="K34" i="56"/>
  <c r="J34" i="56"/>
  <c r="J32" i="56"/>
  <c r="K30" i="56"/>
  <c r="J30" i="56"/>
  <c r="J28" i="56"/>
  <c r="K28" i="56" s="1"/>
  <c r="J26" i="56"/>
  <c r="N24" i="56"/>
  <c r="J24" i="56"/>
  <c r="N22" i="56"/>
  <c r="K22" i="56"/>
  <c r="J22" i="56"/>
  <c r="N20" i="56"/>
  <c r="K20" i="56"/>
  <c r="J20" i="56"/>
  <c r="J16" i="56"/>
  <c r="O47" i="52"/>
  <c r="M34" i="51"/>
  <c r="M46" i="51"/>
  <c r="M44" i="51"/>
  <c r="M42" i="51"/>
  <c r="M40" i="51"/>
  <c r="M38" i="51"/>
  <c r="M36" i="51"/>
  <c r="M32" i="51"/>
  <c r="M30" i="51"/>
  <c r="M28" i="51"/>
  <c r="M26" i="51"/>
  <c r="M24" i="51"/>
  <c r="M22" i="51"/>
  <c r="O47" i="50"/>
  <c r="M46" i="50"/>
  <c r="M44" i="50"/>
  <c r="M42" i="50"/>
  <c r="M40" i="50"/>
  <c r="M38" i="50"/>
  <c r="M36" i="50"/>
  <c r="M34" i="50"/>
  <c r="M32" i="50"/>
  <c r="M30" i="50"/>
  <c r="M28" i="50"/>
  <c r="M26" i="50"/>
  <c r="M24" i="50"/>
  <c r="M22" i="50"/>
  <c r="O46" i="50"/>
  <c r="O46" i="51" s="1"/>
  <c r="O44" i="52"/>
  <c r="O44" i="51"/>
  <c r="O42" i="51"/>
  <c r="O40" i="51"/>
  <c r="O40" i="50"/>
  <c r="O42" i="49"/>
  <c r="M42" i="49"/>
  <c r="M40" i="49"/>
  <c r="M38" i="49"/>
  <c r="M36" i="49"/>
  <c r="M34" i="49"/>
  <c r="M32" i="49"/>
  <c r="M30" i="49"/>
  <c r="M28" i="49"/>
  <c r="M26" i="49"/>
  <c r="M24" i="49"/>
  <c r="M22" i="49"/>
  <c r="M42" i="48"/>
  <c r="M40" i="48"/>
  <c r="M38" i="48"/>
  <c r="M36" i="48"/>
  <c r="M34" i="48"/>
  <c r="M32" i="48"/>
  <c r="M30" i="48"/>
  <c r="M28" i="48"/>
  <c r="M26" i="48"/>
  <c r="M24" i="48"/>
  <c r="O43" i="48"/>
  <c r="M22" i="48"/>
  <c r="M42" i="47"/>
  <c r="M40" i="47"/>
  <c r="M38" i="47"/>
  <c r="M36" i="47"/>
  <c r="M34" i="47"/>
  <c r="M32" i="47"/>
  <c r="M30" i="47"/>
  <c r="M28" i="47"/>
  <c r="M26" i="47"/>
  <c r="M24" i="47"/>
  <c r="M22" i="47"/>
  <c r="O42" i="46"/>
  <c r="O40" i="46"/>
  <c r="O38" i="46"/>
  <c r="O36" i="46"/>
  <c r="O34" i="46"/>
  <c r="O32" i="46"/>
  <c r="O30" i="46"/>
  <c r="O28" i="46"/>
  <c r="O26" i="46"/>
  <c r="O24" i="46"/>
  <c r="M42" i="46"/>
  <c r="M40" i="46"/>
  <c r="M38" i="46"/>
  <c r="M36" i="46"/>
  <c r="M34" i="46"/>
  <c r="M32" i="46"/>
  <c r="M30" i="46"/>
  <c r="M28" i="46"/>
  <c r="M26" i="46"/>
  <c r="M24" i="46"/>
  <c r="M22" i="46"/>
  <c r="O42" i="45"/>
  <c r="O40" i="45"/>
  <c r="O38" i="45"/>
  <c r="O36" i="45"/>
  <c r="O34" i="45"/>
  <c r="O32" i="45"/>
  <c r="O30" i="45"/>
  <c r="O28" i="45"/>
  <c r="O26" i="45"/>
  <c r="O24" i="45"/>
  <c r="M42" i="45"/>
  <c r="M40" i="45"/>
  <c r="M38" i="45"/>
  <c r="M36" i="45"/>
  <c r="M34" i="45"/>
  <c r="M32" i="45"/>
  <c r="M30" i="45"/>
  <c r="M28" i="45"/>
  <c r="M26" i="45"/>
  <c r="M24" i="45"/>
  <c r="M22" i="45"/>
  <c r="O43" i="44"/>
  <c r="O42" i="44"/>
  <c r="O40" i="44"/>
  <c r="O38" i="44"/>
  <c r="O36" i="44"/>
  <c r="O34" i="44"/>
  <c r="O32" i="44"/>
  <c r="O30" i="44"/>
  <c r="O28" i="44"/>
  <c r="O26" i="44"/>
  <c r="O24" i="44"/>
  <c r="M42" i="44"/>
  <c r="M40" i="44"/>
  <c r="M38" i="44"/>
  <c r="M36" i="44"/>
  <c r="M34" i="44"/>
  <c r="M32" i="44"/>
  <c r="M30" i="44"/>
  <c r="M28" i="44"/>
  <c r="M26" i="44"/>
  <c r="M24" i="44"/>
  <c r="M22" i="44"/>
  <c r="O22" i="44"/>
  <c r="O43" i="43"/>
  <c r="O42" i="43"/>
  <c r="O40" i="43"/>
  <c r="O38" i="43"/>
  <c r="O36" i="43"/>
  <c r="O34" i="43"/>
  <c r="O32" i="43"/>
  <c r="O30" i="43"/>
  <c r="O28" i="43"/>
  <c r="O26" i="43"/>
  <c r="O24" i="43"/>
  <c r="O43" i="42"/>
  <c r="O42" i="42"/>
  <c r="O40" i="42"/>
  <c r="O38" i="42"/>
  <c r="O36" i="42"/>
  <c r="O34" i="42"/>
  <c r="O32" i="42"/>
  <c r="O30" i="42"/>
  <c r="O28" i="42"/>
  <c r="O26" i="42"/>
  <c r="O24" i="42"/>
  <c r="O42" i="41"/>
  <c r="O40" i="41"/>
  <c r="O38" i="41"/>
  <c r="O36" i="41"/>
  <c r="O34" i="41"/>
  <c r="O32" i="41"/>
  <c r="O30" i="41"/>
  <c r="O28" i="41"/>
  <c r="O26" i="41"/>
  <c r="O24" i="41"/>
  <c r="O43" i="40"/>
  <c r="O42" i="40"/>
  <c r="O40" i="40"/>
  <c r="O38" i="40"/>
  <c r="O36" i="40"/>
  <c r="O34" i="40"/>
  <c r="O32" i="40"/>
  <c r="O30" i="40"/>
  <c r="O28" i="40"/>
  <c r="O26" i="40"/>
  <c r="O24" i="40"/>
  <c r="O42" i="39"/>
  <c r="O40" i="39"/>
  <c r="O38" i="39"/>
  <c r="O36" i="39"/>
  <c r="O34" i="39"/>
  <c r="O32" i="39"/>
  <c r="O30" i="39"/>
  <c r="O28" i="39"/>
  <c r="O26" i="39"/>
  <c r="O24" i="39"/>
  <c r="O43" i="38"/>
  <c r="O40" i="38"/>
  <c r="O38" i="38"/>
  <c r="O36" i="38"/>
  <c r="O34" i="38"/>
  <c r="O32" i="38"/>
  <c r="O30" i="38"/>
  <c r="O28" i="38"/>
  <c r="O26" i="38"/>
  <c r="O24" i="38"/>
  <c r="O43" i="37"/>
  <c r="J41" i="36"/>
  <c r="O41" i="36"/>
  <c r="M40" i="36"/>
  <c r="M38" i="36"/>
  <c r="M36" i="36"/>
  <c r="M34" i="36"/>
  <c r="M34" i="37" s="1"/>
  <c r="M34" i="38" s="1"/>
  <c r="M34" i="39" s="1"/>
  <c r="M32" i="36"/>
  <c r="M30" i="36"/>
  <c r="M28" i="36"/>
  <c r="M28" i="37" s="1"/>
  <c r="M28" i="38" s="1"/>
  <c r="M28" i="39" s="1"/>
  <c r="M28" i="40" s="1"/>
  <c r="M26" i="36"/>
  <c r="M24" i="36"/>
  <c r="O40" i="36"/>
  <c r="O40" i="37" s="1"/>
  <c r="O38" i="36"/>
  <c r="O38" i="37" s="1"/>
  <c r="O36" i="36"/>
  <c r="O36" i="37" s="1"/>
  <c r="O34" i="36"/>
  <c r="O34" i="37" s="1"/>
  <c r="O32" i="36"/>
  <c r="O32" i="37" s="1"/>
  <c r="O30" i="36"/>
  <c r="O30" i="37" s="1"/>
  <c r="O28" i="36"/>
  <c r="O28" i="37" s="1"/>
  <c r="O26" i="36"/>
  <c r="O26" i="37" s="1"/>
  <c r="O24" i="36"/>
  <c r="O24" i="37" s="1"/>
  <c r="M42" i="39"/>
  <c r="M36" i="39"/>
  <c r="M42" i="38"/>
  <c r="M38" i="38"/>
  <c r="M38" i="39" s="1"/>
  <c r="M36" i="38"/>
  <c r="M26" i="38"/>
  <c r="M26" i="39" s="1"/>
  <c r="M26" i="40" s="1"/>
  <c r="M42" i="37"/>
  <c r="M40" i="37"/>
  <c r="M40" i="38" s="1"/>
  <c r="M40" i="39" s="1"/>
  <c r="M38" i="37"/>
  <c r="M36" i="37"/>
  <c r="M32" i="37"/>
  <c r="M32" i="38" s="1"/>
  <c r="M32" i="39" s="1"/>
  <c r="M30" i="37"/>
  <c r="M30" i="38" s="1"/>
  <c r="M30" i="39" s="1"/>
  <c r="M30" i="40" s="1"/>
  <c r="M26" i="37"/>
  <c r="M24" i="37"/>
  <c r="M24" i="38" s="1"/>
  <c r="M24" i="39" s="1"/>
  <c r="M24" i="40" s="1"/>
  <c r="M20" i="37"/>
  <c r="O42" i="37"/>
  <c r="G4" i="55"/>
  <c r="M22" i="55"/>
  <c r="M22" i="54"/>
  <c r="M22" i="53"/>
  <c r="M22" i="52"/>
  <c r="O47" i="62" l="1"/>
  <c r="K26" i="61"/>
  <c r="K30" i="61"/>
  <c r="P38" i="61"/>
  <c r="P42" i="61"/>
  <c r="N40" i="61"/>
  <c r="N44" i="61"/>
  <c r="P46" i="61"/>
  <c r="P40" i="61"/>
  <c r="P44" i="61"/>
  <c r="J47" i="61"/>
  <c r="K30" i="60"/>
  <c r="O47" i="60"/>
  <c r="K26" i="60"/>
  <c r="P38" i="60"/>
  <c r="P34" i="60"/>
  <c r="P30" i="60"/>
  <c r="P26" i="60"/>
  <c r="P22" i="60"/>
  <c r="P40" i="60"/>
  <c r="P44" i="60"/>
  <c r="P46" i="60"/>
  <c r="P24" i="60"/>
  <c r="P28" i="60"/>
  <c r="P32" i="60"/>
  <c r="P36" i="60"/>
  <c r="K38" i="60"/>
  <c r="N40" i="60"/>
  <c r="N44" i="60"/>
  <c r="P20" i="60"/>
  <c r="J47" i="60"/>
  <c r="P42" i="60"/>
  <c r="O28" i="59"/>
  <c r="J47" i="59"/>
  <c r="G4" i="59"/>
  <c r="O30" i="57"/>
  <c r="O30" i="58" s="1"/>
  <c r="O26" i="58"/>
  <c r="O26" i="59" s="1"/>
  <c r="K30" i="58"/>
  <c r="M28" i="58"/>
  <c r="O44" i="57"/>
  <c r="O44" i="58" s="1"/>
  <c r="O44" i="59" s="1"/>
  <c r="P44" i="59" s="1"/>
  <c r="K34" i="57"/>
  <c r="P26" i="57"/>
  <c r="M26" i="58"/>
  <c r="P34" i="59"/>
  <c r="P22" i="59"/>
  <c r="P24" i="59"/>
  <c r="P40" i="59"/>
  <c r="P38" i="59"/>
  <c r="P42" i="59"/>
  <c r="N40" i="59"/>
  <c r="P20" i="59"/>
  <c r="K24" i="59"/>
  <c r="K28" i="59"/>
  <c r="K32" i="59"/>
  <c r="K36" i="59"/>
  <c r="P46" i="59"/>
  <c r="N44" i="59"/>
  <c r="P34" i="58"/>
  <c r="P22" i="58"/>
  <c r="P38" i="58"/>
  <c r="P42" i="58"/>
  <c r="P46" i="58"/>
  <c r="P24" i="58"/>
  <c r="P28" i="58"/>
  <c r="P32" i="58"/>
  <c r="P36" i="58"/>
  <c r="N40" i="58"/>
  <c r="N44" i="58"/>
  <c r="P20" i="58"/>
  <c r="P40" i="58"/>
  <c r="J47" i="58"/>
  <c r="P36" i="57"/>
  <c r="P32" i="57"/>
  <c r="P28" i="57"/>
  <c r="P24" i="57"/>
  <c r="P22" i="57"/>
  <c r="K38" i="57"/>
  <c r="P38" i="57"/>
  <c r="N40" i="57"/>
  <c r="K42" i="57"/>
  <c r="P42" i="57"/>
  <c r="N44" i="57"/>
  <c r="K46" i="57"/>
  <c r="P46" i="57"/>
  <c r="K24" i="57"/>
  <c r="K28" i="57"/>
  <c r="K32" i="57"/>
  <c r="P40" i="57"/>
  <c r="P44" i="57"/>
  <c r="J47" i="57"/>
  <c r="P34" i="57"/>
  <c r="P20" i="57"/>
  <c r="P30" i="56"/>
  <c r="P34" i="56"/>
  <c r="P32" i="56"/>
  <c r="P22" i="56"/>
  <c r="K26" i="56"/>
  <c r="P26" i="56"/>
  <c r="J47" i="56"/>
  <c r="P24" i="56"/>
  <c r="P46" i="56"/>
  <c r="P28" i="56"/>
  <c r="P36" i="56"/>
  <c r="P20" i="56"/>
  <c r="K24" i="56"/>
  <c r="K32" i="56"/>
  <c r="P44" i="56"/>
  <c r="P38" i="56"/>
  <c r="P42" i="56"/>
  <c r="N40" i="56"/>
  <c r="N44" i="56"/>
  <c r="O20" i="55"/>
  <c r="J46" i="55"/>
  <c r="K46" i="55" s="1"/>
  <c r="J44" i="55"/>
  <c r="K44" i="55" s="1"/>
  <c r="J42" i="55"/>
  <c r="K42" i="55" s="1"/>
  <c r="J40" i="55"/>
  <c r="K40" i="55" s="1"/>
  <c r="J38" i="55"/>
  <c r="K38" i="55" s="1"/>
  <c r="C38" i="55"/>
  <c r="J36" i="55"/>
  <c r="K36" i="55" s="1"/>
  <c r="K34" i="55"/>
  <c r="J34" i="55"/>
  <c r="J32" i="55"/>
  <c r="K32" i="55" s="1"/>
  <c r="J30" i="55"/>
  <c r="J28" i="55"/>
  <c r="K28" i="55" s="1"/>
  <c r="J26" i="55"/>
  <c r="J24" i="55"/>
  <c r="K24" i="55" s="1"/>
  <c r="N22" i="55"/>
  <c r="K22" i="55"/>
  <c r="J22" i="55"/>
  <c r="N20" i="55"/>
  <c r="J20" i="55"/>
  <c r="K20" i="55" s="1"/>
  <c r="J16" i="55"/>
  <c r="G4" i="54"/>
  <c r="J16" i="54"/>
  <c r="J32" i="54"/>
  <c r="K32" i="54" s="1"/>
  <c r="O20" i="54"/>
  <c r="P20" i="61" l="1"/>
  <c r="O30" i="59"/>
  <c r="P30" i="59" s="1"/>
  <c r="P30" i="58"/>
  <c r="P30" i="57"/>
  <c r="P44" i="58"/>
  <c r="N28" i="58"/>
  <c r="M28" i="59"/>
  <c r="O47" i="58"/>
  <c r="M26" i="59"/>
  <c r="N26" i="58"/>
  <c r="P26" i="58"/>
  <c r="O47" i="57"/>
  <c r="P40" i="56"/>
  <c r="K30" i="55"/>
  <c r="K26" i="55"/>
  <c r="J47" i="55"/>
  <c r="P20" i="55"/>
  <c r="K46" i="54"/>
  <c r="J46" i="54"/>
  <c r="J44" i="54"/>
  <c r="K44" i="54" s="1"/>
  <c r="K42" i="54"/>
  <c r="J42" i="54"/>
  <c r="J40" i="54"/>
  <c r="K40" i="54" s="1"/>
  <c r="K38" i="54"/>
  <c r="J38" i="54"/>
  <c r="C38" i="54"/>
  <c r="J36" i="54"/>
  <c r="K34" i="54"/>
  <c r="J34" i="54"/>
  <c r="J30" i="54"/>
  <c r="J28" i="54"/>
  <c r="J26" i="54"/>
  <c r="J24" i="54"/>
  <c r="K22" i="54"/>
  <c r="J22" i="54"/>
  <c r="N20" i="54"/>
  <c r="J20" i="54"/>
  <c r="K20" i="54" s="1"/>
  <c r="D58" i="53"/>
  <c r="O47" i="59" l="1"/>
  <c r="N28" i="59"/>
  <c r="P28" i="59"/>
  <c r="N26" i="59"/>
  <c r="P26" i="59"/>
  <c r="K30" i="54"/>
  <c r="K28" i="54"/>
  <c r="K26" i="54"/>
  <c r="P20" i="54"/>
  <c r="K24" i="54"/>
  <c r="K36" i="54"/>
  <c r="J47" i="54"/>
  <c r="N22" i="54"/>
  <c r="O20" i="53"/>
  <c r="J46" i="53"/>
  <c r="J44" i="53"/>
  <c r="K44" i="53" s="1"/>
  <c r="J42" i="53"/>
  <c r="J40" i="53"/>
  <c r="K40" i="53" s="1"/>
  <c r="J38" i="53"/>
  <c r="C38" i="53"/>
  <c r="J36" i="53"/>
  <c r="K36" i="53" s="1"/>
  <c r="K34" i="53"/>
  <c r="J34" i="53"/>
  <c r="J32" i="53"/>
  <c r="K32" i="53" s="1"/>
  <c r="J30" i="53"/>
  <c r="K30" i="53" s="1"/>
  <c r="J28" i="53"/>
  <c r="K28" i="53" s="1"/>
  <c r="K26" i="53"/>
  <c r="J26" i="53"/>
  <c r="J24" i="53"/>
  <c r="K24" i="53" s="1"/>
  <c r="N22" i="53"/>
  <c r="K22" i="53"/>
  <c r="J22" i="53"/>
  <c r="N20" i="53"/>
  <c r="K20" i="53"/>
  <c r="J20" i="53"/>
  <c r="J16" i="53"/>
  <c r="J47" i="51"/>
  <c r="G4" i="51"/>
  <c r="K22" i="51"/>
  <c r="K24" i="51"/>
  <c r="J16" i="50"/>
  <c r="J47" i="53" l="1"/>
  <c r="K38" i="53"/>
  <c r="K42" i="53"/>
  <c r="K46" i="53"/>
  <c r="P20" i="53"/>
  <c r="O20" i="52"/>
  <c r="J16" i="52"/>
  <c r="K46" i="52"/>
  <c r="J46" i="52"/>
  <c r="K44" i="52"/>
  <c r="J44" i="52"/>
  <c r="K42" i="52"/>
  <c r="J42" i="52"/>
  <c r="K40" i="52"/>
  <c r="J40" i="52"/>
  <c r="K38" i="52"/>
  <c r="J38" i="52"/>
  <c r="C38" i="52"/>
  <c r="J36" i="52"/>
  <c r="K36" i="52" s="1"/>
  <c r="J34" i="52"/>
  <c r="K34" i="52" s="1"/>
  <c r="J32" i="52"/>
  <c r="K32" i="52" s="1"/>
  <c r="J30" i="52"/>
  <c r="K30" i="52" s="1"/>
  <c r="J28" i="52"/>
  <c r="K28" i="52" s="1"/>
  <c r="J26" i="52"/>
  <c r="K26" i="52" s="1"/>
  <c r="J24" i="52"/>
  <c r="K24" i="52" s="1"/>
  <c r="J22" i="52"/>
  <c r="K22" i="52" s="1"/>
  <c r="N20" i="52"/>
  <c r="K20" i="52"/>
  <c r="J20" i="52"/>
  <c r="O44" i="53"/>
  <c r="O44" i="54" s="1"/>
  <c r="O44" i="55" s="1"/>
  <c r="O42" i="52"/>
  <c r="O42" i="53" s="1"/>
  <c r="O42" i="54" s="1"/>
  <c r="O42" i="55" s="1"/>
  <c r="O20" i="51"/>
  <c r="O20" i="50"/>
  <c r="J16" i="49"/>
  <c r="O20" i="49"/>
  <c r="O20" i="48"/>
  <c r="O20" i="47"/>
  <c r="O20" i="46"/>
  <c r="O20" i="45"/>
  <c r="O20" i="44"/>
  <c r="O20" i="43"/>
  <c r="O22" i="42"/>
  <c r="O20" i="42"/>
  <c r="O22" i="41"/>
  <c r="O20" i="41"/>
  <c r="O22" i="40"/>
  <c r="O20" i="40"/>
  <c r="O22" i="39"/>
  <c r="O20" i="39"/>
  <c r="O22" i="38"/>
  <c r="O20" i="38"/>
  <c r="J16" i="37"/>
  <c r="O20" i="37"/>
  <c r="O20" i="36"/>
  <c r="O20" i="35"/>
  <c r="O41" i="32"/>
  <c r="O20" i="34"/>
  <c r="O20" i="33"/>
  <c r="O38" i="47"/>
  <c r="O38" i="48" s="1"/>
  <c r="O38" i="49" s="1"/>
  <c r="O38" i="50" s="1"/>
  <c r="O30" i="47"/>
  <c r="O30" i="48" s="1"/>
  <c r="O30" i="49" s="1"/>
  <c r="O30" i="50" s="1"/>
  <c r="O30" i="51" s="1"/>
  <c r="O40" i="47"/>
  <c r="O40" i="48" s="1"/>
  <c r="O40" i="49" s="1"/>
  <c r="O40" i="52" s="1"/>
  <c r="O40" i="53" s="1"/>
  <c r="O40" i="54" s="1"/>
  <c r="O40" i="55" s="1"/>
  <c r="O36" i="47"/>
  <c r="O36" i="48" s="1"/>
  <c r="O36" i="49" s="1"/>
  <c r="O36" i="50" s="1"/>
  <c r="O36" i="51" s="1"/>
  <c r="O36" i="52" s="1"/>
  <c r="O36" i="53" s="1"/>
  <c r="O36" i="54" s="1"/>
  <c r="O36" i="55" s="1"/>
  <c r="O34" i="47"/>
  <c r="O34" i="48" s="1"/>
  <c r="O34" i="49" s="1"/>
  <c r="O34" i="50" s="1"/>
  <c r="O34" i="51" s="1"/>
  <c r="O34" i="52" s="1"/>
  <c r="O34" i="53" s="1"/>
  <c r="O34" i="54" s="1"/>
  <c r="O34" i="55" s="1"/>
  <c r="O32" i="47"/>
  <c r="O32" i="48" s="1"/>
  <c r="O32" i="49" s="1"/>
  <c r="O32" i="50" s="1"/>
  <c r="O32" i="51" s="1"/>
  <c r="O32" i="52" s="1"/>
  <c r="O32" i="53" s="1"/>
  <c r="O32" i="54" s="1"/>
  <c r="O32" i="55" s="1"/>
  <c r="O28" i="47"/>
  <c r="O28" i="48" s="1"/>
  <c r="O28" i="49" s="1"/>
  <c r="O28" i="50" s="1"/>
  <c r="O28" i="51" s="1"/>
  <c r="O28" i="52" s="1"/>
  <c r="O28" i="53" s="1"/>
  <c r="O28" i="54" s="1"/>
  <c r="O28" i="55" s="1"/>
  <c r="O26" i="47"/>
  <c r="O26" i="48" s="1"/>
  <c r="O26" i="49" s="1"/>
  <c r="O26" i="50" s="1"/>
  <c r="O26" i="51" s="1"/>
  <c r="O26" i="52" s="1"/>
  <c r="O26" i="53" s="1"/>
  <c r="O26" i="54" s="1"/>
  <c r="O26" i="55" s="1"/>
  <c r="J46" i="51"/>
  <c r="K46" i="51" s="1"/>
  <c r="J44" i="51"/>
  <c r="K44" i="51" s="1"/>
  <c r="J42" i="51"/>
  <c r="K42" i="51" s="1"/>
  <c r="J40" i="51"/>
  <c r="K40" i="51" s="1"/>
  <c r="J38" i="51"/>
  <c r="K38" i="51" s="1"/>
  <c r="C38" i="51"/>
  <c r="K36" i="51"/>
  <c r="J36" i="51"/>
  <c r="K34" i="51"/>
  <c r="J34" i="51"/>
  <c r="K32" i="51"/>
  <c r="J32" i="51"/>
  <c r="K30" i="51"/>
  <c r="J30" i="51"/>
  <c r="K28" i="51"/>
  <c r="J28" i="51"/>
  <c r="K26" i="51"/>
  <c r="J26" i="51"/>
  <c r="J24" i="51"/>
  <c r="N22" i="51"/>
  <c r="J22" i="51"/>
  <c r="N20" i="51"/>
  <c r="J20" i="51"/>
  <c r="K20" i="51" s="1"/>
  <c r="J16" i="51"/>
  <c r="O42" i="38"/>
  <c r="N22" i="37"/>
  <c r="J43" i="41"/>
  <c r="J43" i="42"/>
  <c r="J43" i="46"/>
  <c r="J43" i="47"/>
  <c r="J43" i="49"/>
  <c r="J40" i="50"/>
  <c r="J38" i="50"/>
  <c r="C38" i="50"/>
  <c r="O38" i="51" l="1"/>
  <c r="O43" i="39"/>
  <c r="O42" i="47"/>
  <c r="O42" i="48" s="1"/>
  <c r="J47" i="52"/>
  <c r="O30" i="52"/>
  <c r="O30" i="53" s="1"/>
  <c r="O30" i="54" s="1"/>
  <c r="O30" i="55" s="1"/>
  <c r="O38" i="52"/>
  <c r="O38" i="53" s="1"/>
  <c r="O38" i="54" s="1"/>
  <c r="O38" i="55" s="1"/>
  <c r="K38" i="50"/>
  <c r="N22" i="52"/>
  <c r="P20" i="52"/>
  <c r="K40" i="50"/>
  <c r="O43" i="41" l="1"/>
  <c r="P20" i="51"/>
  <c r="J16" i="48"/>
  <c r="J46" i="50" l="1"/>
  <c r="J44" i="50"/>
  <c r="K44" i="50" s="1"/>
  <c r="J42" i="50"/>
  <c r="K42" i="50" s="1"/>
  <c r="J36" i="50"/>
  <c r="K36" i="50" s="1"/>
  <c r="J34" i="50"/>
  <c r="J32" i="50"/>
  <c r="J30" i="50"/>
  <c r="J28" i="50"/>
  <c r="J26" i="50"/>
  <c r="J24" i="50"/>
  <c r="N22" i="50"/>
  <c r="J22" i="50"/>
  <c r="N20" i="50"/>
  <c r="J20" i="50"/>
  <c r="K20" i="50" s="1"/>
  <c r="J42" i="49"/>
  <c r="K42" i="49" s="1"/>
  <c r="J40" i="49"/>
  <c r="K40" i="49" s="1"/>
  <c r="J38" i="49"/>
  <c r="K38" i="49" s="1"/>
  <c r="C38" i="49"/>
  <c r="J36" i="49"/>
  <c r="K36" i="49" s="1"/>
  <c r="K34" i="49"/>
  <c r="J34" i="49"/>
  <c r="J32" i="49"/>
  <c r="K30" i="49"/>
  <c r="J30" i="49"/>
  <c r="J28" i="49"/>
  <c r="K28" i="49" s="1"/>
  <c r="K26" i="49"/>
  <c r="J26" i="49"/>
  <c r="J24" i="49"/>
  <c r="N22" i="49"/>
  <c r="J22" i="49"/>
  <c r="K22" i="49" s="1"/>
  <c r="N20" i="49"/>
  <c r="J20" i="49"/>
  <c r="K20" i="49" s="1"/>
  <c r="K22" i="45"/>
  <c r="K46" i="50" l="1"/>
  <c r="K22" i="50"/>
  <c r="J47" i="50"/>
  <c r="K26" i="50"/>
  <c r="K30" i="50"/>
  <c r="K34" i="50"/>
  <c r="P20" i="50"/>
  <c r="K24" i="50"/>
  <c r="K28" i="50"/>
  <c r="K32" i="50"/>
  <c r="P20" i="49"/>
  <c r="K24" i="49"/>
  <c r="K32" i="49"/>
  <c r="M22" i="33"/>
  <c r="M22" i="34" s="1"/>
  <c r="J42" i="48"/>
  <c r="K42" i="48" s="1"/>
  <c r="J40" i="48"/>
  <c r="K40" i="48" s="1"/>
  <c r="J38" i="48"/>
  <c r="K38" i="48" s="1"/>
  <c r="C38" i="48"/>
  <c r="K36" i="48"/>
  <c r="J36" i="48"/>
  <c r="K34" i="48"/>
  <c r="J34" i="48"/>
  <c r="K32" i="48"/>
  <c r="J32" i="48"/>
  <c r="K30" i="48"/>
  <c r="J30" i="48"/>
  <c r="K28" i="48"/>
  <c r="J28" i="48"/>
  <c r="K26" i="48"/>
  <c r="J26" i="48"/>
  <c r="K24" i="48"/>
  <c r="J24" i="48"/>
  <c r="J22" i="48"/>
  <c r="N20" i="48"/>
  <c r="J20" i="48"/>
  <c r="K20" i="48" s="1"/>
  <c r="J42" i="47"/>
  <c r="K42" i="47" s="1"/>
  <c r="J40" i="47"/>
  <c r="K40" i="47" s="1"/>
  <c r="J38" i="47"/>
  <c r="K38" i="47" s="1"/>
  <c r="C38" i="47"/>
  <c r="J36" i="47"/>
  <c r="K34" i="47"/>
  <c r="J34" i="47"/>
  <c r="J32" i="47"/>
  <c r="J30" i="47"/>
  <c r="J28" i="47"/>
  <c r="J26" i="47"/>
  <c r="J24" i="47"/>
  <c r="K22" i="47"/>
  <c r="J22" i="47"/>
  <c r="N20" i="47"/>
  <c r="K20" i="47"/>
  <c r="J20" i="47"/>
  <c r="J16" i="47"/>
  <c r="J42" i="46"/>
  <c r="K42" i="46" s="1"/>
  <c r="J40" i="46"/>
  <c r="K40" i="46" s="1"/>
  <c r="J38" i="46"/>
  <c r="K38" i="46" s="1"/>
  <c r="C38" i="46"/>
  <c r="K36" i="46"/>
  <c r="J36" i="46"/>
  <c r="K34" i="46"/>
  <c r="J34" i="46"/>
  <c r="K32" i="46"/>
  <c r="J32" i="46"/>
  <c r="K30" i="46"/>
  <c r="J30" i="46"/>
  <c r="K28" i="46"/>
  <c r="J28" i="46"/>
  <c r="K26" i="46"/>
  <c r="J26" i="46"/>
  <c r="K24" i="46"/>
  <c r="J24" i="46"/>
  <c r="J22" i="46"/>
  <c r="K22" i="46" s="1"/>
  <c r="N20" i="46"/>
  <c r="J20" i="46"/>
  <c r="K20" i="46" s="1"/>
  <c r="J16" i="46"/>
  <c r="J42" i="45"/>
  <c r="K42" i="45" s="1"/>
  <c r="J40" i="45"/>
  <c r="K40" i="45" s="1"/>
  <c r="J38" i="45"/>
  <c r="K38" i="45" s="1"/>
  <c r="C38" i="45"/>
  <c r="J36" i="45"/>
  <c r="K36" i="45" s="1"/>
  <c r="K34" i="45"/>
  <c r="J34" i="45"/>
  <c r="J32" i="45"/>
  <c r="K30" i="45"/>
  <c r="J30" i="45"/>
  <c r="J28" i="45"/>
  <c r="K28" i="45" s="1"/>
  <c r="K26" i="45"/>
  <c r="J26" i="45"/>
  <c r="J24" i="45"/>
  <c r="K24" i="45" s="1"/>
  <c r="J22" i="45"/>
  <c r="N20" i="45"/>
  <c r="K20" i="45"/>
  <c r="J20" i="45"/>
  <c r="J16" i="45"/>
  <c r="J42" i="44"/>
  <c r="K42" i="44" s="1"/>
  <c r="J40" i="44"/>
  <c r="K40" i="44" s="1"/>
  <c r="J38" i="44"/>
  <c r="K38" i="44" s="1"/>
  <c r="C38" i="44"/>
  <c r="K36" i="44"/>
  <c r="J36" i="44"/>
  <c r="J34" i="44"/>
  <c r="K34" i="44" s="1"/>
  <c r="K32" i="44"/>
  <c r="J32" i="44"/>
  <c r="J30" i="44"/>
  <c r="K30" i="44" s="1"/>
  <c r="K28" i="44"/>
  <c r="J28" i="44"/>
  <c r="J26" i="44"/>
  <c r="K26" i="44" s="1"/>
  <c r="J24" i="44"/>
  <c r="J22" i="44"/>
  <c r="K22" i="44" s="1"/>
  <c r="N20" i="44"/>
  <c r="K20" i="44"/>
  <c r="J20" i="44"/>
  <c r="J16" i="44"/>
  <c r="J22" i="42"/>
  <c r="P28" i="40"/>
  <c r="J43" i="39"/>
  <c r="P42" i="39"/>
  <c r="P40" i="39"/>
  <c r="P38" i="39"/>
  <c r="P36" i="39"/>
  <c r="P34" i="39"/>
  <c r="P32" i="39"/>
  <c r="P30" i="39"/>
  <c r="P28" i="39"/>
  <c r="P26" i="39"/>
  <c r="P24" i="39"/>
  <c r="K42" i="43"/>
  <c r="J42" i="43"/>
  <c r="K42" i="42"/>
  <c r="J42" i="42"/>
  <c r="K42" i="41"/>
  <c r="J42" i="41"/>
  <c r="K42" i="40"/>
  <c r="J42" i="40"/>
  <c r="K42" i="39"/>
  <c r="J42" i="39"/>
  <c r="J43" i="38"/>
  <c r="P42" i="38"/>
  <c r="N42" i="38"/>
  <c r="K42" i="38"/>
  <c r="J42" i="38"/>
  <c r="J40" i="38"/>
  <c r="K40" i="38" s="1"/>
  <c r="N40" i="38"/>
  <c r="N42" i="37"/>
  <c r="J42" i="37"/>
  <c r="P42" i="37" s="1"/>
  <c r="J40" i="43"/>
  <c r="K40" i="43" s="1"/>
  <c r="J38" i="43"/>
  <c r="C38" i="43"/>
  <c r="J36" i="43"/>
  <c r="K36" i="43" s="1"/>
  <c r="J34" i="43"/>
  <c r="K34" i="43" s="1"/>
  <c r="J32" i="43"/>
  <c r="J30" i="43"/>
  <c r="J28" i="43"/>
  <c r="K28" i="43" s="1"/>
  <c r="J26" i="43"/>
  <c r="K26" i="43" s="1"/>
  <c r="J24" i="43"/>
  <c r="O24" i="47" s="1"/>
  <c r="O24" i="48" s="1"/>
  <c r="O24" i="49" s="1"/>
  <c r="J22" i="43"/>
  <c r="N20" i="43"/>
  <c r="J20" i="43"/>
  <c r="J16" i="43"/>
  <c r="J40" i="42"/>
  <c r="K40" i="42" s="1"/>
  <c r="J38" i="42"/>
  <c r="C38" i="42"/>
  <c r="J36" i="42"/>
  <c r="K36" i="42" s="1"/>
  <c r="J34" i="42"/>
  <c r="K34" i="42" s="1"/>
  <c r="J32" i="42"/>
  <c r="K30" i="42"/>
  <c r="J30" i="42"/>
  <c r="J28" i="42"/>
  <c r="K28" i="42" s="1"/>
  <c r="J26" i="42"/>
  <c r="K26" i="42" s="1"/>
  <c r="J24" i="42"/>
  <c r="K22" i="42"/>
  <c r="N20" i="42"/>
  <c r="J20" i="42"/>
  <c r="K20" i="42" s="1"/>
  <c r="J16" i="42"/>
  <c r="J40" i="41"/>
  <c r="K40" i="41" s="1"/>
  <c r="J38" i="41"/>
  <c r="C38" i="41"/>
  <c r="K36" i="41"/>
  <c r="J36" i="41"/>
  <c r="J34" i="41"/>
  <c r="K34" i="41" s="1"/>
  <c r="J32" i="41"/>
  <c r="K30" i="41"/>
  <c r="J30" i="41"/>
  <c r="K28" i="41"/>
  <c r="J28" i="41"/>
  <c r="J26" i="41"/>
  <c r="K26" i="41" s="1"/>
  <c r="J24" i="41"/>
  <c r="J22" i="41"/>
  <c r="N20" i="41"/>
  <c r="K20" i="41"/>
  <c r="J20" i="41"/>
  <c r="J16" i="41"/>
  <c r="J40" i="40"/>
  <c r="K40" i="40" s="1"/>
  <c r="J38" i="40"/>
  <c r="C38" i="40"/>
  <c r="J36" i="40"/>
  <c r="K36" i="40" s="1"/>
  <c r="J34" i="40"/>
  <c r="K34" i="40" s="1"/>
  <c r="J32" i="40"/>
  <c r="K30" i="40"/>
  <c r="J30" i="40"/>
  <c r="J28" i="40"/>
  <c r="K28" i="40" s="1"/>
  <c r="J26" i="40"/>
  <c r="K26" i="40" s="1"/>
  <c r="J24" i="40"/>
  <c r="J22" i="40"/>
  <c r="N20" i="40"/>
  <c r="J20" i="40"/>
  <c r="K20" i="40" s="1"/>
  <c r="J16" i="40"/>
  <c r="J40" i="39"/>
  <c r="K40" i="39" s="1"/>
  <c r="J38" i="39"/>
  <c r="C38" i="39"/>
  <c r="J36" i="39"/>
  <c r="J34" i="39"/>
  <c r="K34" i="39" s="1"/>
  <c r="J32" i="39"/>
  <c r="K30" i="39"/>
  <c r="J30" i="39"/>
  <c r="K28" i="39"/>
  <c r="J28" i="39"/>
  <c r="K26" i="39"/>
  <c r="J26" i="39"/>
  <c r="J24" i="39"/>
  <c r="K22" i="39"/>
  <c r="J22" i="39"/>
  <c r="N20" i="39"/>
  <c r="J20" i="39"/>
  <c r="K20" i="39" s="1"/>
  <c r="J16" i="39"/>
  <c r="J38" i="38"/>
  <c r="P38" i="38" s="1"/>
  <c r="C38" i="38"/>
  <c r="N38" i="38" s="1"/>
  <c r="N36" i="38"/>
  <c r="J36" i="38"/>
  <c r="P36" i="38" s="1"/>
  <c r="N34" i="38"/>
  <c r="J34" i="38"/>
  <c r="K34" i="38" s="1"/>
  <c r="N32" i="38"/>
  <c r="J32" i="38"/>
  <c r="P32" i="38" s="1"/>
  <c r="N30" i="38"/>
  <c r="J30" i="38"/>
  <c r="P30" i="38" s="1"/>
  <c r="N28" i="38"/>
  <c r="J28" i="38"/>
  <c r="P28" i="38" s="1"/>
  <c r="N26" i="38"/>
  <c r="J26" i="38"/>
  <c r="K26" i="38" s="1"/>
  <c r="N24" i="38"/>
  <c r="J24" i="38"/>
  <c r="P24" i="38" s="1"/>
  <c r="J22" i="38"/>
  <c r="N20" i="38"/>
  <c r="J20" i="38"/>
  <c r="J16" i="38"/>
  <c r="N40" i="37"/>
  <c r="J40" i="37"/>
  <c r="K40" i="37" s="1"/>
  <c r="J38" i="37"/>
  <c r="P38" i="37" s="1"/>
  <c r="C38" i="37"/>
  <c r="N38" i="37" s="1"/>
  <c r="P36" i="37"/>
  <c r="N36" i="37"/>
  <c r="J36" i="37"/>
  <c r="K36" i="37" s="1"/>
  <c r="P34" i="37"/>
  <c r="N34" i="37"/>
  <c r="J34" i="37"/>
  <c r="K34" i="37" s="1"/>
  <c r="N32" i="37"/>
  <c r="J32" i="37"/>
  <c r="P32" i="37" s="1"/>
  <c r="N30" i="37"/>
  <c r="J30" i="37"/>
  <c r="P30" i="37" s="1"/>
  <c r="P28" i="37"/>
  <c r="N28" i="37"/>
  <c r="J28" i="37"/>
  <c r="K28" i="37" s="1"/>
  <c r="P26" i="37"/>
  <c r="N26" i="37"/>
  <c r="J26" i="37"/>
  <c r="K26" i="37" s="1"/>
  <c r="N24" i="37"/>
  <c r="J24" i="37"/>
  <c r="P24" i="37" s="1"/>
  <c r="J22" i="37"/>
  <c r="N20" i="37"/>
  <c r="K20" i="37"/>
  <c r="J20" i="37"/>
  <c r="N40" i="36"/>
  <c r="J40" i="36"/>
  <c r="K40" i="36" s="1"/>
  <c r="N38" i="36"/>
  <c r="K38" i="36"/>
  <c r="J38" i="36"/>
  <c r="P38" i="36" s="1"/>
  <c r="C38" i="36"/>
  <c r="P36" i="36"/>
  <c r="N36" i="36"/>
  <c r="J36" i="36"/>
  <c r="K36" i="36" s="1"/>
  <c r="N34" i="36"/>
  <c r="J34" i="36"/>
  <c r="K34" i="36" s="1"/>
  <c r="N32" i="36"/>
  <c r="K32" i="36"/>
  <c r="J32" i="36"/>
  <c r="P32" i="36" s="1"/>
  <c r="P30" i="36"/>
  <c r="N30" i="36"/>
  <c r="J30" i="36"/>
  <c r="K30" i="36" s="1"/>
  <c r="P28" i="36"/>
  <c r="N28" i="36"/>
  <c r="J28" i="36"/>
  <c r="K28" i="36" s="1"/>
  <c r="N26" i="36"/>
  <c r="J26" i="36"/>
  <c r="P26" i="36" s="1"/>
  <c r="N24" i="36"/>
  <c r="K24" i="36"/>
  <c r="J24" i="36"/>
  <c r="P24" i="36" s="1"/>
  <c r="J22" i="36"/>
  <c r="K22" i="36" s="1"/>
  <c r="N20" i="36"/>
  <c r="J20" i="36"/>
  <c r="K20" i="36" s="1"/>
  <c r="J16" i="36"/>
  <c r="N40" i="35"/>
  <c r="J40" i="35"/>
  <c r="K40" i="35" s="1"/>
  <c r="K38" i="35"/>
  <c r="J38" i="35"/>
  <c r="O38" i="35" s="1"/>
  <c r="P38" i="35" s="1"/>
  <c r="C38" i="35"/>
  <c r="N38" i="35" s="1"/>
  <c r="O36" i="35"/>
  <c r="P36" i="35" s="1"/>
  <c r="N36" i="35"/>
  <c r="J36" i="35"/>
  <c r="K36" i="35" s="1"/>
  <c r="N34" i="35"/>
  <c r="J34" i="35"/>
  <c r="K34" i="35" s="1"/>
  <c r="N32" i="35"/>
  <c r="K32" i="35"/>
  <c r="J32" i="35"/>
  <c r="O32" i="35" s="1"/>
  <c r="P32" i="35" s="1"/>
  <c r="N30" i="35"/>
  <c r="J30" i="35"/>
  <c r="O30" i="35" s="1"/>
  <c r="P30" i="35" s="1"/>
  <c r="O28" i="35"/>
  <c r="P28" i="35" s="1"/>
  <c r="N28" i="35"/>
  <c r="J28" i="35"/>
  <c r="K28" i="35" s="1"/>
  <c r="N26" i="35"/>
  <c r="J26" i="35"/>
  <c r="K26" i="35" s="1"/>
  <c r="N24" i="35"/>
  <c r="K24" i="35"/>
  <c r="J24" i="35"/>
  <c r="O24" i="35" s="1"/>
  <c r="P24" i="35" s="1"/>
  <c r="J22" i="35"/>
  <c r="N20" i="35"/>
  <c r="J20" i="35"/>
  <c r="K20" i="35" s="1"/>
  <c r="J16" i="35"/>
  <c r="N20" i="34"/>
  <c r="J16" i="34"/>
  <c r="O40" i="34"/>
  <c r="P40" i="34" s="1"/>
  <c r="N40" i="34"/>
  <c r="J40" i="34"/>
  <c r="K40" i="34" s="1"/>
  <c r="N38" i="34"/>
  <c r="J38" i="34"/>
  <c r="O38" i="34" s="1"/>
  <c r="P38" i="34" s="1"/>
  <c r="C38" i="34"/>
  <c r="O36" i="34"/>
  <c r="P36" i="34" s="1"/>
  <c r="N36" i="34"/>
  <c r="J36" i="34"/>
  <c r="K36" i="34" s="1"/>
  <c r="O34" i="34"/>
  <c r="P34" i="34" s="1"/>
  <c r="N34" i="34"/>
  <c r="J34" i="34"/>
  <c r="K34" i="34" s="1"/>
  <c r="N32" i="34"/>
  <c r="J32" i="34"/>
  <c r="O32" i="34" s="1"/>
  <c r="P32" i="34" s="1"/>
  <c r="O30" i="34"/>
  <c r="P30" i="34" s="1"/>
  <c r="N30" i="34"/>
  <c r="K30" i="34"/>
  <c r="J30" i="34"/>
  <c r="O28" i="34"/>
  <c r="P28" i="34" s="1"/>
  <c r="N28" i="34"/>
  <c r="J28" i="34"/>
  <c r="K28" i="34" s="1"/>
  <c r="O26" i="34"/>
  <c r="P26" i="34" s="1"/>
  <c r="N26" i="34"/>
  <c r="J26" i="34"/>
  <c r="K26" i="34" s="1"/>
  <c r="N24" i="34"/>
  <c r="J24" i="34"/>
  <c r="O24" i="34" s="1"/>
  <c r="P24" i="34" s="1"/>
  <c r="J22" i="34"/>
  <c r="K22" i="34" s="1"/>
  <c r="J20" i="34"/>
  <c r="K20" i="34" s="1"/>
  <c r="N22" i="33"/>
  <c r="O40" i="33"/>
  <c r="P40" i="33" s="1"/>
  <c r="N40" i="33"/>
  <c r="J40" i="33"/>
  <c r="K40" i="33" s="1"/>
  <c r="J38" i="33"/>
  <c r="O38" i="33" s="1"/>
  <c r="P38" i="33" s="1"/>
  <c r="C38" i="33"/>
  <c r="N38" i="33" s="1"/>
  <c r="O36" i="33"/>
  <c r="P36" i="33" s="1"/>
  <c r="N36" i="33"/>
  <c r="J36" i="33"/>
  <c r="K36" i="33" s="1"/>
  <c r="O34" i="33"/>
  <c r="P34" i="33" s="1"/>
  <c r="N34" i="33"/>
  <c r="J34" i="33"/>
  <c r="K34" i="33" s="1"/>
  <c r="N32" i="33"/>
  <c r="J32" i="33"/>
  <c r="O32" i="33" s="1"/>
  <c r="P32" i="33" s="1"/>
  <c r="N30" i="33"/>
  <c r="K30" i="33"/>
  <c r="J30" i="33"/>
  <c r="O30" i="33" s="1"/>
  <c r="P30" i="33" s="1"/>
  <c r="O28" i="33"/>
  <c r="P28" i="33" s="1"/>
  <c r="N28" i="33"/>
  <c r="K28" i="33"/>
  <c r="J28" i="33"/>
  <c r="O26" i="33"/>
  <c r="P26" i="33" s="1"/>
  <c r="N26" i="33"/>
  <c r="J26" i="33"/>
  <c r="K26" i="33" s="1"/>
  <c r="N24" i="33"/>
  <c r="J24" i="33"/>
  <c r="O24" i="33" s="1"/>
  <c r="P24" i="33" s="1"/>
  <c r="J22" i="33"/>
  <c r="N20" i="33"/>
  <c r="J20" i="33"/>
  <c r="J16" i="33"/>
  <c r="G4" i="33" s="1"/>
  <c r="G4" i="34" s="1"/>
  <c r="J41" i="32"/>
  <c r="J20" i="32"/>
  <c r="O20" i="32"/>
  <c r="J16" i="32"/>
  <c r="G4" i="32" s="1"/>
  <c r="O40" i="32"/>
  <c r="P40" i="32" s="1"/>
  <c r="N40" i="32"/>
  <c r="P38" i="32"/>
  <c r="O38" i="32"/>
  <c r="N38" i="32"/>
  <c r="P36" i="32"/>
  <c r="O36" i="32"/>
  <c r="N36" i="32"/>
  <c r="O34" i="32"/>
  <c r="P34" i="32" s="1"/>
  <c r="N34" i="32"/>
  <c r="P32" i="32"/>
  <c r="O32" i="32"/>
  <c r="N32" i="32"/>
  <c r="O30" i="32"/>
  <c r="P30" i="32" s="1"/>
  <c r="N30" i="32"/>
  <c r="O28" i="32"/>
  <c r="P28" i="32" s="1"/>
  <c r="N28" i="32"/>
  <c r="N24" i="32"/>
  <c r="N22" i="32"/>
  <c r="N20" i="32"/>
  <c r="P26" i="32"/>
  <c r="O26" i="32"/>
  <c r="N26" i="32"/>
  <c r="P20" i="32"/>
  <c r="O24" i="50" l="1"/>
  <c r="O24" i="51" s="1"/>
  <c r="O24" i="52" s="1"/>
  <c r="O24" i="53" s="1"/>
  <c r="O24" i="54" s="1"/>
  <c r="O24" i="55" s="1"/>
  <c r="M42" i="40"/>
  <c r="N42" i="40" s="1"/>
  <c r="M40" i="40"/>
  <c r="N40" i="40" s="1"/>
  <c r="M38" i="40"/>
  <c r="M36" i="40"/>
  <c r="N36" i="40" s="1"/>
  <c r="M34" i="40"/>
  <c r="M32" i="40"/>
  <c r="N32" i="40" s="1"/>
  <c r="N30" i="40"/>
  <c r="M28" i="41"/>
  <c r="N28" i="41" s="1"/>
  <c r="N24" i="40"/>
  <c r="O46" i="52"/>
  <c r="J41" i="33"/>
  <c r="O22" i="33"/>
  <c r="K22" i="48"/>
  <c r="K30" i="47"/>
  <c r="K26" i="47"/>
  <c r="J43" i="45"/>
  <c r="K24" i="44"/>
  <c r="J43" i="44"/>
  <c r="O22" i="43"/>
  <c r="M22" i="35"/>
  <c r="N22" i="35" s="1"/>
  <c r="N22" i="34"/>
  <c r="J43" i="43"/>
  <c r="J43" i="48"/>
  <c r="P20" i="47"/>
  <c r="K24" i="47"/>
  <c r="K28" i="47"/>
  <c r="K32" i="47"/>
  <c r="K36" i="47"/>
  <c r="P20" i="45"/>
  <c r="K32" i="45"/>
  <c r="J43" i="40"/>
  <c r="N28" i="40"/>
  <c r="N26" i="40"/>
  <c r="N42" i="39"/>
  <c r="N40" i="39"/>
  <c r="N38" i="39"/>
  <c r="N36" i="39"/>
  <c r="N34" i="39"/>
  <c r="N32" i="39"/>
  <c r="N30" i="39"/>
  <c r="N28" i="39"/>
  <c r="N26" i="39"/>
  <c r="N24" i="39"/>
  <c r="K30" i="43"/>
  <c r="K20" i="43"/>
  <c r="K22" i="43"/>
  <c r="K22" i="41"/>
  <c r="K22" i="40"/>
  <c r="K36" i="39"/>
  <c r="P40" i="38"/>
  <c r="K30" i="38"/>
  <c r="K20" i="38"/>
  <c r="K28" i="38"/>
  <c r="K22" i="38"/>
  <c r="K36" i="38"/>
  <c r="P26" i="38"/>
  <c r="P34" i="38"/>
  <c r="J43" i="37"/>
  <c r="K42" i="37"/>
  <c r="P40" i="37"/>
  <c r="K30" i="37"/>
  <c r="K24" i="43"/>
  <c r="K32" i="43"/>
  <c r="K38" i="43"/>
  <c r="P20" i="43"/>
  <c r="K24" i="42"/>
  <c r="K32" i="42"/>
  <c r="K38" i="42"/>
  <c r="P20" i="42"/>
  <c r="K24" i="41"/>
  <c r="K32" i="41"/>
  <c r="K38" i="41"/>
  <c r="K24" i="40"/>
  <c r="K32" i="40"/>
  <c r="K38" i="40"/>
  <c r="P20" i="40"/>
  <c r="G4" i="35"/>
  <c r="G4" i="36" s="1"/>
  <c r="G4" i="37" s="1"/>
  <c r="G4" i="38" s="1"/>
  <c r="G4" i="39" s="1"/>
  <c r="G4" i="40" s="1"/>
  <c r="K22" i="37"/>
  <c r="K24" i="39"/>
  <c r="K32" i="39"/>
  <c r="K38" i="39"/>
  <c r="K24" i="38"/>
  <c r="K32" i="38"/>
  <c r="K38" i="38"/>
  <c r="P20" i="38"/>
  <c r="K24" i="37"/>
  <c r="K32" i="37"/>
  <c r="K38" i="37"/>
  <c r="P20" i="37"/>
  <c r="K26" i="36"/>
  <c r="P34" i="36"/>
  <c r="P40" i="36"/>
  <c r="P20" i="36"/>
  <c r="K22" i="35"/>
  <c r="O26" i="35"/>
  <c r="P26" i="35" s="1"/>
  <c r="K30" i="35"/>
  <c r="O34" i="35"/>
  <c r="P34" i="35" s="1"/>
  <c r="O40" i="35"/>
  <c r="P40" i="35" s="1"/>
  <c r="P20" i="35"/>
  <c r="J41" i="35"/>
  <c r="K24" i="34"/>
  <c r="K32" i="34"/>
  <c r="K38" i="34"/>
  <c r="J41" i="34"/>
  <c r="K22" i="33"/>
  <c r="K20" i="33"/>
  <c r="K24" i="33"/>
  <c r="K32" i="33"/>
  <c r="K38" i="33"/>
  <c r="C38" i="32"/>
  <c r="J38" i="32"/>
  <c r="K38" i="32" s="1"/>
  <c r="P42" i="40" l="1"/>
  <c r="M42" i="41"/>
  <c r="P40" i="40"/>
  <c r="M40" i="41"/>
  <c r="P38" i="40"/>
  <c r="M38" i="41"/>
  <c r="N38" i="40"/>
  <c r="P36" i="40"/>
  <c r="M36" i="41"/>
  <c r="P34" i="40"/>
  <c r="M34" i="41"/>
  <c r="N34" i="40"/>
  <c r="P32" i="40"/>
  <c r="M32" i="41"/>
  <c r="P30" i="40"/>
  <c r="M30" i="41"/>
  <c r="P28" i="41"/>
  <c r="M28" i="42"/>
  <c r="P26" i="40"/>
  <c r="M26" i="41"/>
  <c r="P24" i="40"/>
  <c r="M24" i="41"/>
  <c r="O46" i="53"/>
  <c r="O22" i="34"/>
  <c r="O41" i="33"/>
  <c r="P22" i="33"/>
  <c r="G4" i="41"/>
  <c r="G4" i="42" s="1"/>
  <c r="G4" i="43" s="1"/>
  <c r="G4" i="44" s="1"/>
  <c r="G4" i="45" s="1"/>
  <c r="G4" i="46" s="1"/>
  <c r="G4" i="47" s="1"/>
  <c r="G4" i="48" s="1"/>
  <c r="G4" i="49" s="1"/>
  <c r="G4" i="50" s="1"/>
  <c r="G4" i="52" s="1"/>
  <c r="G4" i="53" s="1"/>
  <c r="M22" i="36"/>
  <c r="N22" i="36"/>
  <c r="P20" i="48"/>
  <c r="P20" i="46"/>
  <c r="P20" i="44"/>
  <c r="P20" i="41"/>
  <c r="P20" i="39"/>
  <c r="P20" i="34"/>
  <c r="P20" i="33"/>
  <c r="J40" i="32"/>
  <c r="K40" i="32" s="1"/>
  <c r="J36" i="32"/>
  <c r="K36" i="32" s="1"/>
  <c r="J34" i="32"/>
  <c r="K34" i="32" s="1"/>
  <c r="J32" i="32"/>
  <c r="K32" i="32" s="1"/>
  <c r="J30" i="32"/>
  <c r="J28" i="32"/>
  <c r="K28" i="32" s="1"/>
  <c r="J26" i="32"/>
  <c r="J24" i="32"/>
  <c r="J22" i="32"/>
  <c r="P42" i="41" l="1"/>
  <c r="M42" i="42"/>
  <c r="N42" i="41"/>
  <c r="P40" i="41"/>
  <c r="M40" i="42"/>
  <c r="N40" i="41"/>
  <c r="P38" i="41"/>
  <c r="M38" i="42"/>
  <c r="N38" i="41"/>
  <c r="P36" i="41"/>
  <c r="M36" i="42"/>
  <c r="N36" i="41"/>
  <c r="P34" i="41"/>
  <c r="M34" i="42"/>
  <c r="N34" i="41"/>
  <c r="P32" i="41"/>
  <c r="M32" i="42"/>
  <c r="N32" i="41"/>
  <c r="P30" i="41"/>
  <c r="M30" i="42"/>
  <c r="N30" i="41"/>
  <c r="P28" i="42"/>
  <c r="M28" i="43"/>
  <c r="N28" i="42"/>
  <c r="P26" i="41"/>
  <c r="M26" i="42"/>
  <c r="N26" i="41"/>
  <c r="P24" i="41"/>
  <c r="M24" i="42"/>
  <c r="N24" i="41"/>
  <c r="O46" i="54"/>
  <c r="O22" i="35"/>
  <c r="O41" i="34"/>
  <c r="P22" i="34"/>
  <c r="O22" i="45"/>
  <c r="O43" i="45" s="1"/>
  <c r="M22" i="37"/>
  <c r="K24" i="32"/>
  <c r="O24" i="32"/>
  <c r="P24" i="32" s="1"/>
  <c r="O22" i="32"/>
  <c r="P22" i="32" s="1"/>
  <c r="K22" i="32"/>
  <c r="K30" i="32"/>
  <c r="K26" i="32"/>
  <c r="K20" i="32"/>
  <c r="P42" i="42" l="1"/>
  <c r="M42" i="43"/>
  <c r="N42" i="42"/>
  <c r="P40" i="42"/>
  <c r="M40" i="43"/>
  <c r="N40" i="42"/>
  <c r="P38" i="42"/>
  <c r="M38" i="43"/>
  <c r="N38" i="42"/>
  <c r="P36" i="42"/>
  <c r="M36" i="43"/>
  <c r="N36" i="42"/>
  <c r="P34" i="42"/>
  <c r="M34" i="43"/>
  <c r="N34" i="42"/>
  <c r="P32" i="42"/>
  <c r="M32" i="43"/>
  <c r="N32" i="42"/>
  <c r="P30" i="42"/>
  <c r="M30" i="43"/>
  <c r="N30" i="42"/>
  <c r="N28" i="49"/>
  <c r="P28" i="49"/>
  <c r="N28" i="50"/>
  <c r="P28" i="50"/>
  <c r="N28" i="48"/>
  <c r="P28" i="48"/>
  <c r="N28" i="46"/>
  <c r="P28" i="46"/>
  <c r="P28" i="51"/>
  <c r="M28" i="52"/>
  <c r="N28" i="51"/>
  <c r="N28" i="47"/>
  <c r="P28" i="47"/>
  <c r="P28" i="44"/>
  <c r="N28" i="44"/>
  <c r="P28" i="43"/>
  <c r="N28" i="43"/>
  <c r="N28" i="45"/>
  <c r="P28" i="45"/>
  <c r="P26" i="42"/>
  <c r="M26" i="43"/>
  <c r="N26" i="42"/>
  <c r="M24" i="43"/>
  <c r="P24" i="42"/>
  <c r="N24" i="42"/>
  <c r="O46" i="55"/>
  <c r="O22" i="36"/>
  <c r="O41" i="35"/>
  <c r="P22" i="35"/>
  <c r="O22" i="46"/>
  <c r="O43" i="46" s="1"/>
  <c r="M22" i="38"/>
  <c r="N42" i="45" l="1"/>
  <c r="P42" i="45"/>
  <c r="M46" i="52"/>
  <c r="N46" i="51"/>
  <c r="P46" i="51"/>
  <c r="N42" i="46"/>
  <c r="P42" i="46"/>
  <c r="N42" i="49"/>
  <c r="P42" i="49"/>
  <c r="P42" i="43"/>
  <c r="N42" i="43"/>
  <c r="N42" i="48"/>
  <c r="P42" i="48"/>
  <c r="N46" i="50"/>
  <c r="P46" i="50"/>
  <c r="N42" i="47"/>
  <c r="P42" i="47"/>
  <c r="N42" i="44"/>
  <c r="P42" i="44"/>
  <c r="P40" i="45"/>
  <c r="N40" i="45"/>
  <c r="N40" i="49"/>
  <c r="P40" i="49"/>
  <c r="N44" i="50"/>
  <c r="P44" i="50"/>
  <c r="N40" i="46"/>
  <c r="P40" i="46"/>
  <c r="M44" i="52"/>
  <c r="P44" i="51"/>
  <c r="N44" i="51"/>
  <c r="P40" i="43"/>
  <c r="N40" i="43"/>
  <c r="N40" i="44"/>
  <c r="P40" i="44"/>
  <c r="N40" i="48"/>
  <c r="P40" i="48"/>
  <c r="N40" i="47"/>
  <c r="P40" i="47"/>
  <c r="P38" i="43"/>
  <c r="N38" i="43"/>
  <c r="N42" i="50"/>
  <c r="P42" i="50"/>
  <c r="N38" i="46"/>
  <c r="P38" i="46"/>
  <c r="N38" i="44"/>
  <c r="P38" i="44"/>
  <c r="N38" i="49"/>
  <c r="P38" i="49"/>
  <c r="N38" i="48"/>
  <c r="P38" i="48"/>
  <c r="N38" i="45"/>
  <c r="P38" i="45"/>
  <c r="N38" i="47"/>
  <c r="P38" i="47"/>
  <c r="M42" i="52"/>
  <c r="N42" i="51"/>
  <c r="P42" i="51"/>
  <c r="N40" i="50"/>
  <c r="P40" i="50"/>
  <c r="N36" i="48"/>
  <c r="P36" i="48"/>
  <c r="N36" i="46"/>
  <c r="P36" i="46"/>
  <c r="M40" i="52"/>
  <c r="P40" i="51"/>
  <c r="N40" i="51"/>
  <c r="N36" i="45"/>
  <c r="P36" i="45"/>
  <c r="P36" i="43"/>
  <c r="N36" i="43"/>
  <c r="N36" i="49"/>
  <c r="P36" i="49"/>
  <c r="P36" i="51"/>
  <c r="M36" i="52"/>
  <c r="N36" i="51"/>
  <c r="N36" i="47"/>
  <c r="P36" i="47"/>
  <c r="P36" i="44"/>
  <c r="N36" i="44"/>
  <c r="N36" i="50"/>
  <c r="P36" i="50"/>
  <c r="N34" i="48"/>
  <c r="P34" i="48"/>
  <c r="N34" i="44"/>
  <c r="P34" i="44"/>
  <c r="N38" i="50"/>
  <c r="P38" i="50"/>
  <c r="P34" i="43"/>
  <c r="N34" i="43"/>
  <c r="P34" i="51"/>
  <c r="M34" i="52"/>
  <c r="N34" i="51"/>
  <c r="N34" i="45"/>
  <c r="P34" i="45"/>
  <c r="M38" i="52"/>
  <c r="P38" i="51"/>
  <c r="N38" i="51"/>
  <c r="N34" i="47"/>
  <c r="P34" i="47"/>
  <c r="N34" i="49"/>
  <c r="P34" i="49"/>
  <c r="N34" i="46"/>
  <c r="P34" i="46"/>
  <c r="N34" i="50"/>
  <c r="P34" i="50"/>
  <c r="N32" i="47"/>
  <c r="P32" i="47"/>
  <c r="N32" i="49"/>
  <c r="P32" i="49"/>
  <c r="N32" i="50"/>
  <c r="P32" i="50"/>
  <c r="N32" i="45"/>
  <c r="P32" i="45"/>
  <c r="N32" i="48"/>
  <c r="P32" i="48"/>
  <c r="P32" i="51"/>
  <c r="M32" i="52"/>
  <c r="N32" i="51"/>
  <c r="N32" i="46"/>
  <c r="P32" i="46"/>
  <c r="P32" i="43"/>
  <c r="N32" i="43"/>
  <c r="N32" i="44"/>
  <c r="P32" i="44"/>
  <c r="N30" i="45"/>
  <c r="P30" i="45"/>
  <c r="N30" i="46"/>
  <c r="P30" i="46"/>
  <c r="N30" i="47"/>
  <c r="P30" i="47"/>
  <c r="N30" i="44"/>
  <c r="P30" i="44"/>
  <c r="M30" i="52"/>
  <c r="N30" i="51"/>
  <c r="P30" i="51"/>
  <c r="N30" i="49"/>
  <c r="P30" i="49"/>
  <c r="N30" i="50"/>
  <c r="P30" i="50"/>
  <c r="N30" i="48"/>
  <c r="P30" i="48"/>
  <c r="P30" i="43"/>
  <c r="N30" i="43"/>
  <c r="M28" i="53"/>
  <c r="P28" i="52"/>
  <c r="N28" i="52"/>
  <c r="N26" i="49"/>
  <c r="P26" i="49"/>
  <c r="N26" i="50"/>
  <c r="P26" i="50"/>
  <c r="N26" i="46"/>
  <c r="P26" i="46"/>
  <c r="M26" i="52"/>
  <c r="N26" i="51"/>
  <c r="P26" i="51"/>
  <c r="N26" i="45"/>
  <c r="P26" i="45"/>
  <c r="N26" i="47"/>
  <c r="P26" i="47"/>
  <c r="P26" i="43"/>
  <c r="N26" i="43"/>
  <c r="N26" i="44"/>
  <c r="P26" i="44"/>
  <c r="N26" i="48"/>
  <c r="P26" i="48"/>
  <c r="N24" i="46"/>
  <c r="P24" i="46"/>
  <c r="N24" i="50"/>
  <c r="P24" i="50"/>
  <c r="N24" i="49"/>
  <c r="P24" i="49"/>
  <c r="N24" i="48"/>
  <c r="P24" i="48"/>
  <c r="N24" i="47"/>
  <c r="P24" i="47"/>
  <c r="N24" i="44"/>
  <c r="P24" i="44"/>
  <c r="N24" i="45"/>
  <c r="P24" i="45"/>
  <c r="N24" i="43"/>
  <c r="P24" i="43"/>
  <c r="N24" i="51"/>
  <c r="M24" i="52"/>
  <c r="P24" i="51"/>
  <c r="O22" i="37"/>
  <c r="P22" i="36"/>
  <c r="O22" i="47"/>
  <c r="O43" i="47" s="1"/>
  <c r="M22" i="39"/>
  <c r="N22" i="38"/>
  <c r="P22" i="38"/>
  <c r="M46" i="53" l="1"/>
  <c r="N46" i="52"/>
  <c r="P46" i="52"/>
  <c r="M44" i="53"/>
  <c r="N44" i="52"/>
  <c r="P44" i="52"/>
  <c r="M42" i="53"/>
  <c r="P42" i="52"/>
  <c r="N42" i="52"/>
  <c r="M40" i="53"/>
  <c r="N40" i="52"/>
  <c r="P40" i="52"/>
  <c r="M36" i="53"/>
  <c r="N36" i="52"/>
  <c r="P36" i="52"/>
  <c r="M38" i="53"/>
  <c r="N38" i="52"/>
  <c r="P38" i="52"/>
  <c r="M34" i="53"/>
  <c r="P34" i="52"/>
  <c r="N34" i="52"/>
  <c r="M32" i="53"/>
  <c r="P32" i="52"/>
  <c r="N32" i="52"/>
  <c r="M30" i="53"/>
  <c r="N30" i="52"/>
  <c r="P30" i="52"/>
  <c r="M28" i="54"/>
  <c r="N28" i="53"/>
  <c r="P28" i="53"/>
  <c r="M26" i="53"/>
  <c r="P26" i="52"/>
  <c r="N26" i="52"/>
  <c r="M24" i="53"/>
  <c r="N24" i="52"/>
  <c r="P24" i="52"/>
  <c r="P22" i="37"/>
  <c r="O22" i="48"/>
  <c r="M22" i="40"/>
  <c r="P22" i="39"/>
  <c r="N22" i="39"/>
  <c r="M46" i="54" l="1"/>
  <c r="N46" i="53"/>
  <c r="P46" i="53"/>
  <c r="M44" i="54"/>
  <c r="N44" i="53"/>
  <c r="P44" i="53"/>
  <c r="M42" i="54"/>
  <c r="N42" i="53"/>
  <c r="P42" i="53"/>
  <c r="M36" i="54"/>
  <c r="N36" i="53"/>
  <c r="P36" i="53"/>
  <c r="M40" i="54"/>
  <c r="N40" i="53"/>
  <c r="P40" i="53"/>
  <c r="M38" i="54"/>
  <c r="N38" i="53"/>
  <c r="P38" i="53"/>
  <c r="M34" i="54"/>
  <c r="N34" i="53"/>
  <c r="P34" i="53"/>
  <c r="M32" i="54"/>
  <c r="N32" i="53"/>
  <c r="P32" i="53"/>
  <c r="M30" i="54"/>
  <c r="N30" i="53"/>
  <c r="P30" i="53"/>
  <c r="M28" i="55"/>
  <c r="N28" i="54"/>
  <c r="P28" i="54"/>
  <c r="M26" i="54"/>
  <c r="N26" i="53"/>
  <c r="P26" i="53"/>
  <c r="M24" i="54"/>
  <c r="N24" i="53"/>
  <c r="P24" i="53"/>
  <c r="O22" i="49"/>
  <c r="O43" i="49" s="1"/>
  <c r="M22" i="41"/>
  <c r="P22" i="40"/>
  <c r="N22" i="40"/>
  <c r="M46" i="55" l="1"/>
  <c r="N46" i="54"/>
  <c r="P46" i="54"/>
  <c r="M44" i="55"/>
  <c r="N44" i="54"/>
  <c r="P44" i="54"/>
  <c r="M42" i="55"/>
  <c r="N42" i="54"/>
  <c r="P42" i="54"/>
  <c r="M40" i="55"/>
  <c r="N40" i="54"/>
  <c r="P40" i="54"/>
  <c r="M36" i="55"/>
  <c r="N36" i="54"/>
  <c r="P36" i="54"/>
  <c r="M38" i="55"/>
  <c r="N38" i="54"/>
  <c r="P38" i="54"/>
  <c r="M34" i="55"/>
  <c r="P34" i="54"/>
  <c r="N34" i="54"/>
  <c r="M32" i="55"/>
  <c r="N32" i="54"/>
  <c r="P32" i="54"/>
  <c r="M30" i="55"/>
  <c r="N30" i="54"/>
  <c r="P30" i="54"/>
  <c r="N28" i="55"/>
  <c r="P28" i="55"/>
  <c r="M26" i="55"/>
  <c r="P26" i="54"/>
  <c r="N26" i="54"/>
  <c r="M24" i="55"/>
  <c r="N24" i="54"/>
  <c r="P24" i="54"/>
  <c r="O22" i="50"/>
  <c r="P22" i="49"/>
  <c r="N22" i="41"/>
  <c r="M22" i="42"/>
  <c r="P22" i="41"/>
  <c r="N46" i="55" l="1"/>
  <c r="P46" i="55"/>
  <c r="P44" i="55"/>
  <c r="N44" i="55"/>
  <c r="N42" i="55"/>
  <c r="P42" i="55"/>
  <c r="N36" i="55"/>
  <c r="P36" i="55"/>
  <c r="P40" i="55"/>
  <c r="N40" i="55"/>
  <c r="N38" i="55"/>
  <c r="P38" i="55"/>
  <c r="N34" i="55"/>
  <c r="P34" i="55"/>
  <c r="N32" i="55"/>
  <c r="P32" i="55"/>
  <c r="N30" i="55"/>
  <c r="P30" i="55"/>
  <c r="N26" i="55"/>
  <c r="P26" i="55"/>
  <c r="N24" i="55"/>
  <c r="P24" i="55"/>
  <c r="O22" i="51"/>
  <c r="P22" i="50"/>
  <c r="P22" i="42"/>
  <c r="N22" i="42"/>
  <c r="M22" i="43"/>
  <c r="O22" i="52" l="1"/>
  <c r="O22" i="53" s="1"/>
  <c r="O47" i="51"/>
  <c r="P22" i="51"/>
  <c r="P22" i="52"/>
  <c r="N22" i="45"/>
  <c r="P22" i="45"/>
  <c r="N22" i="44"/>
  <c r="P22" i="44"/>
  <c r="N22" i="47"/>
  <c r="P22" i="47"/>
  <c r="N22" i="48"/>
  <c r="P22" i="48"/>
  <c r="N22" i="43"/>
  <c r="P22" i="43"/>
  <c r="N22" i="46"/>
  <c r="P22" i="46"/>
  <c r="O22" i="54" l="1"/>
  <c r="P22" i="53"/>
  <c r="O47" i="53"/>
  <c r="O22" i="55" l="1"/>
  <c r="P22" i="54"/>
  <c r="O47" i="54"/>
  <c r="P22" i="55" l="1"/>
  <c r="O47" i="55"/>
</calcChain>
</file>

<file path=xl/sharedStrings.xml><?xml version="1.0" encoding="utf-8"?>
<sst xmlns="http://schemas.openxmlformats.org/spreadsheetml/2006/main" count="3748" uniqueCount="270">
  <si>
    <t>Daily Production Log</t>
  </si>
  <si>
    <t>Job:</t>
  </si>
  <si>
    <t>Total Budgeted Hours:</t>
  </si>
  <si>
    <t>Project Number:</t>
  </si>
  <si>
    <t>Total Hours to Date:</t>
  </si>
  <si>
    <t>Date of Report</t>
  </si>
  <si>
    <t>Personnel</t>
  </si>
  <si>
    <t>Name</t>
  </si>
  <si>
    <t xml:space="preserve">Hours </t>
  </si>
  <si>
    <t>Super:</t>
  </si>
  <si>
    <t>Foreman:</t>
  </si>
  <si>
    <t>QC:</t>
  </si>
  <si>
    <t>Techs:</t>
  </si>
  <si>
    <t>TOTAL</t>
  </si>
  <si>
    <t>Description</t>
  </si>
  <si>
    <t>Total Sq Ft</t>
  </si>
  <si>
    <t>Sq. Ft. per Man Hour</t>
  </si>
  <si>
    <t>Sq. Ft.  per Day</t>
  </si>
  <si>
    <t>No. Techs</t>
  </si>
  <si>
    <t>Hours</t>
  </si>
  <si>
    <t>Total Hours</t>
  </si>
  <si>
    <t>Actual Sq. Ft. per Hour</t>
  </si>
  <si>
    <t>Total Production for Job</t>
  </si>
  <si>
    <t>%</t>
  </si>
  <si>
    <t>Total Hours for Job</t>
  </si>
  <si>
    <t>Production Rate for Total Job</t>
  </si>
  <si>
    <t>MOB</t>
  </si>
  <si>
    <t>Total:</t>
  </si>
  <si>
    <t>NOTES:</t>
  </si>
  <si>
    <t>HERNANDEZ, B. (Bonofocio)</t>
  </si>
  <si>
    <t>ROMERO, J. (Jose)</t>
  </si>
  <si>
    <t>*LOPEZ, J. (Jamie)</t>
  </si>
  <si>
    <t>TEMP:</t>
  </si>
  <si>
    <t>WEATHER:</t>
  </si>
  <si>
    <t>Veh. No.</t>
  </si>
  <si>
    <t>JOHNSTON, B. (Walter)</t>
  </si>
  <si>
    <t>*NIETO, M. (Mario)</t>
  </si>
  <si>
    <t>CRUZ, L. (Lucas)</t>
  </si>
  <si>
    <t>NELCA, D. (Dennis)</t>
  </si>
  <si>
    <t>MORGAN, L (Luke)</t>
  </si>
  <si>
    <t>GONZALES, M. (Marcos)</t>
  </si>
  <si>
    <t>Total Job Days:</t>
  </si>
  <si>
    <t>No. of days to date:</t>
  </si>
  <si>
    <t>SW Cheese</t>
  </si>
  <si>
    <t>Remove Existing Battens</t>
  </si>
  <si>
    <t>Installation New Batttens</t>
  </si>
  <si>
    <t>Patches &amp; Straps</t>
  </si>
  <si>
    <t>Install 100 Mil Cover</t>
  </si>
  <si>
    <t>60 Mil Cover &amp; Foam</t>
  </si>
  <si>
    <t>Sample Ports</t>
  </si>
  <si>
    <t>Ballast Pipes</t>
  </si>
  <si>
    <t>Grout</t>
  </si>
  <si>
    <t xml:space="preserve"> </t>
  </si>
  <si>
    <t>Remove Insulation Cover (SF)</t>
  </si>
  <si>
    <t>Remove Primary Cover (SF)</t>
  </si>
  <si>
    <t>L-59 H-96</t>
  </si>
  <si>
    <t>SUNNY WINDS 15 TO 25</t>
  </si>
  <si>
    <t>ONE DUMPSTER</t>
  </si>
  <si>
    <t>THREE DUMPSTER</t>
  </si>
  <si>
    <t>L-68 H-95</t>
  </si>
  <si>
    <t>WINDS AT 10:00 14 MPH OUT THE NORHT WINDS FOR THE DAY 20 TO 25 GUSTS 35MPH BECOMING NORHTEAST AT15 MPH THIS AFERNOON</t>
  </si>
  <si>
    <t>4 DUMPSTER</t>
  </si>
  <si>
    <t xml:space="preserve">L-56  H-95 </t>
  </si>
  <si>
    <t xml:space="preserve">WINDS THIS MORNING  BREEZY + HOT SOUTHWEST WINDS AROUND 15 MPH INCREASING 20 TO 25  GUSTS 35 MPH THIS AFTERNOON </t>
  </si>
  <si>
    <t>DUMPSTER FULL</t>
  </si>
  <si>
    <t>L-65 H-81</t>
  </si>
  <si>
    <t>BREZZY + SUNNY WINDS 15 TO 25  WINDS THIS MORNING 9 MPH</t>
  </si>
  <si>
    <t>WINDS OVERNIGHT BLOWED FOAM ALL OVER THE PLACE PICKED UP ADDED MOVE CROSSTIES</t>
  </si>
  <si>
    <t>L-43 H-65</t>
  </si>
  <si>
    <t>WINDY + MOSTY SUNNY NORTHEAST WINDS 20 TO 30 GUSTS TO 40 MPH</t>
  </si>
  <si>
    <t>OFF</t>
  </si>
  <si>
    <t>L-38  H-69</t>
  </si>
  <si>
    <t>SUNNY</t>
  </si>
  <si>
    <t>L- 54  H- 75</t>
  </si>
  <si>
    <t>BREZZY +WARMER  PARTLY CLOUDY SHOWER + THUNDERSTROMS THIS AFTERNOON SOUTH WINDS 15 TO 25 CHANCE OF RAIN 60 PERCENT</t>
  </si>
  <si>
    <t>Weather Delay</t>
  </si>
  <si>
    <t xml:space="preserve"> RAIN OVERNIGHT 1 TO 2 INCHES  PUT FOAM IN DUMPSTER FULL 4  DUMPSTER REMOVAL 9,600 BEFORE RIAIN CAME IN</t>
  </si>
  <si>
    <t>L - 52  H- 59</t>
  </si>
  <si>
    <t>WINDY + MUCH COOLER CLOUDY WITH ISOLATED SHOWER + THUNDERSTROMS THIS  WINDS NORTH 15 TO 20 INCREASING TO 20 TO 30 ,GUSTS UP TO40 MPH</t>
  </si>
  <si>
    <t>RAIN YESTERDAY 3:00 PM REMOVED INSULATION LOADED 2 DUMPSTER</t>
  </si>
  <si>
    <t xml:space="preserve">  L -42 H -69</t>
  </si>
  <si>
    <t xml:space="preserve"> PARTLY CLOUDY THIS MORNING THEN BECOMING SUNNY HIGH 70 NORHTWEST WINDS 15 TO 20 </t>
  </si>
  <si>
    <t>PUMPING WATER  LOADED 2 DUMPSTER REMOVED SAND TUBES</t>
  </si>
  <si>
    <t>L -51  H -85</t>
  </si>
  <si>
    <t>WARMER +SUNNY HIGH IN THE 80s WINDS AROUND 15 THIS MORNING</t>
  </si>
  <si>
    <t>Est Hr</t>
  </si>
  <si>
    <t>Time Spent Unloading Truck</t>
  </si>
  <si>
    <t>ULOADED TRUCK 10:30 TO 12:00  REMOVED SAND TUBES OFF PRIMARY COVER</t>
  </si>
  <si>
    <t>L -56  H - 95</t>
  </si>
  <si>
    <t>BREEZY +MOSTLY SUNNY HIGHS IN 90s SOUTH WINDS 15 TO 25</t>
  </si>
  <si>
    <t>L -65 H -95</t>
  </si>
  <si>
    <t>WINDY + HOT MOSTLY SUNNY AREAS OF BLOWING DUST THIS AFTERNOON SOUTHWEST WINDS 20 TO 30 GUSTS TO 45 MPH</t>
  </si>
  <si>
    <t>L -62  H-95</t>
  </si>
  <si>
    <t>WINDS THIS MORNING 8 MPH WINDY + HOT MOSTLY SUNNY AREAS OF BLOWING DUST THIS AFTERNOON HIGH 90s SOUTHWEST WINDS</t>
  </si>
  <si>
    <t>20 TO 25 GUSTS 35 INCREASING 25 TO 35 WITH GUSTS UP TO 50 MPH THIS AFTERNOON</t>
  </si>
  <si>
    <t>LOADED 4 DUMPSTERS</t>
  </si>
  <si>
    <t>L-63 H-86</t>
  </si>
  <si>
    <t xml:space="preserve">BREEZY SUNNY HIGH IN 80s WINDS IN THE MORNING 5 MPH  SOUTHWEST WINDS 15 TO 25 </t>
  </si>
  <si>
    <t>REMOVED SAND TUBES FROM PRIMARY COVER WELDED 6" PIPE</t>
  </si>
  <si>
    <t>REMOVED SAND TUBES FROM PRIMARY COVER DUST STORM BLOWED IN 3:00</t>
  </si>
  <si>
    <t>SANDBAGS 10:30 TO 4:30</t>
  </si>
  <si>
    <t>L -57  H-90s</t>
  </si>
  <si>
    <t>SUNNY HIGHS  IN 90s WEST WINDS AROUND 15 BECOMING SOUTH THIS AFTERNOON</t>
  </si>
  <si>
    <t xml:space="preserve"> SET UP PULLEYS + ROPES PUT PIPE ON COVER 3 MEN 6:00 10:30 ,  6 MEN REMOVED NUTS +WASHERS FROM OLD BATTENS 6:00 10:30</t>
  </si>
  <si>
    <t>L -63 H- 59</t>
  </si>
  <si>
    <t xml:space="preserve">BREEZY + MUSH COOLER MOSTLY COUDLY A SLIGHT CHANCE OF SPRINKLES THIS MORNING </t>
  </si>
  <si>
    <t>NORTHWEST WINDS 15 TO 25 GUSTS 35 MPH  CHANCE OF RIAN 20 PERCENT</t>
  </si>
  <si>
    <t>LOADED 3 DUMPSTER - WINDS GOT BAD - MAYBE HALF A DUMPSTER LEFT TO FILL WITH FOAM -  BUILT 8 SAMPLE PORT</t>
  </si>
  <si>
    <t>DID NOT GO VERY GOOD  PUT PIPE ON WEST +EAST SIDE BEFORE CUTING</t>
  </si>
  <si>
    <t>L-53 H-71</t>
  </si>
  <si>
    <t>WINDS THIS MORNING 8 MPH ,BREEZY MOSTLY C</t>
  </si>
  <si>
    <t>AFTERNOON WINDS SOUTH 15 TO 25 MPH CHANCE OF RIAN 50 PERCENT</t>
  </si>
  <si>
    <t xml:space="preserve"> LOADED FOAM 1+ HALF DUMPSTERS  PUMPED SOME WATER FOR 3 HOURS CUT NORTH END PRIMARY PULLED AROUND 40 FEET</t>
  </si>
  <si>
    <t>Owner/Contractor Delay</t>
  </si>
  <si>
    <t>Work Outside Original Scope</t>
  </si>
  <si>
    <t>Grout (123/HR)</t>
  </si>
  <si>
    <t>L- 61 H -90s</t>
  </si>
  <si>
    <t>WINDS THIS MORNING 8 MPH , BREEZY MOSTLY CLOUDY SLIGHT CHANCE SHOWER+ TTHUNDERSTORMS</t>
  </si>
  <si>
    <t>MAYBE SEVERE THIS AFTERNOON SOUTH WINDS 15 TO 25 MPH CHANCE OF RIAN 50 PERCENT</t>
  </si>
  <si>
    <t>Pump Water</t>
  </si>
  <si>
    <t>HAD TO MOVE RESTACK FOAM AGAINST FENCE. LOST A DAY DUE TO HIGH WINDS FROM THE PREVIOUS DAY</t>
  </si>
  <si>
    <r>
      <rPr>
        <sz val="12"/>
        <rFont val="Times New Roman"/>
        <family val="1"/>
      </rPr>
      <t xml:space="preserve"> PUMP WATER</t>
    </r>
    <r>
      <rPr>
        <sz val="12"/>
        <color theme="1"/>
        <rFont val="Times New Roman"/>
        <family val="1"/>
      </rPr>
      <t xml:space="preserve"> / WELDED 6" PIPE / LOADED FOAM IN DUMPSTER - LOADING FOAM IS DONE</t>
    </r>
  </si>
  <si>
    <t>L -63  H-85</t>
  </si>
  <si>
    <t>WARMER PARTLY CLOUDY THIS MORNING BECOMING MOSTLY SUNNY  SOUTHWEST WINDS 15 TO 20 MPH</t>
  </si>
  <si>
    <t xml:space="preserve"> NO RAIN OVERNIGHT BUT WINDS GOT UP TO 45 TO 50 MPH </t>
  </si>
  <si>
    <t>REMOVE OLD BIO GAS PIPE CLEANED 60 MIL. LINER ,TO WELD STRAPS CUT SOME ANCHOR BOLTS</t>
  </si>
  <si>
    <t xml:space="preserve">L -59 H-85 </t>
  </si>
  <si>
    <t>WINDS THIS MORNING 9 MPH HOT PARTLY CLONDY THIS MORNING THEN BECOMING MOSTLY SUNNY  WEST WINDS 15 TO 20 MPH</t>
  </si>
  <si>
    <t>L - 69  H - 91</t>
  </si>
  <si>
    <t>WINDS THIS MORNING 15 MPH MOSTLY SUNNY HIGHS IN THE 90s NORTH WINDS AROUND 15 MPH BECOMING EAST THIS AFTERNOON</t>
  </si>
  <si>
    <t>740 FEET LEFT TO WELD STRAPS ON 8" BIOGAS PIPE.</t>
  </si>
  <si>
    <t xml:space="preserve">CLEANED + WELDED BIOGAS STRAPS (BOTH SIDES) 10' ON CENTER FOR 740 FEET OF 8" BIOGAS PIPE </t>
  </si>
  <si>
    <t>Sand Tubes on Primary Cover (5/27 - 5/29/22)</t>
  </si>
  <si>
    <t>NO. TECHS</t>
  </si>
  <si>
    <t>TOTAL HOURS</t>
  </si>
  <si>
    <t>WELDED 740 FT. BIOGAS STRAPS + REMOVED 463 FT. BATTENS + PRESET 463 FT. NEW BATTENS</t>
  </si>
  <si>
    <t>L -69  H-81</t>
  </si>
  <si>
    <t>WINDS THIS MORNING 16 MPH   MOSTLY CLOUDY SHOWER +THUNDERSTORM SOME MAY PRODUCE DAMAGING WIND + LARGE HAIL THIS AFTERNOON</t>
  </si>
  <si>
    <t>HIGH IN THE 80s EAST WINDS 15 TO 20 MPH</t>
  </si>
  <si>
    <t xml:space="preserve">Add 600 ft biogas </t>
  </si>
  <si>
    <t xml:space="preserve">wind + dust storm </t>
  </si>
  <si>
    <t>winds got up to 35 to 45 mph</t>
  </si>
  <si>
    <t>WIND + DUST STORM ROLL IN AT 7:30 TO 9:30 NO RAIN ADD NO STRAPS TO BIOGAS PIPE 600 FT. DONE</t>
  </si>
  <si>
    <t xml:space="preserve">L  -61  H - 81 </t>
  </si>
  <si>
    <t xml:space="preserve">WINDS THIS MORNING 9 MPH BREEZY +MOSTLY CLOUDY NORTHWEST WINDS 15 TO 25 </t>
  </si>
  <si>
    <t>Straps 5' centers</t>
  </si>
  <si>
    <t xml:space="preserve">Welded Biogas </t>
  </si>
  <si>
    <t>WELDED BIOGAS STRAPS NO 5 FT. CENTER REMOVED 663 FT. OF OLD BATTENS PRESET 663 FT OF NEW BATTEN</t>
  </si>
  <si>
    <t>L -61  H - 90s</t>
  </si>
  <si>
    <t>BREEZY + WARMER  PARTLY CLOUDY THIS MORNING THEN BECOMING MOSTLY SUNNY WINDS THIS MORNING 7 MPH</t>
  </si>
  <si>
    <t xml:space="preserve">SOUTH WINDS 15 TO 25 </t>
  </si>
  <si>
    <t>REMOVED OLD BATTENS +CUT OLD BOLTS PRESET NEW BATTENS STAGED SANDBAGS + SANDTUBES SET UP WELDER AND TESTED</t>
  </si>
  <si>
    <t>L -64  H - 97</t>
  </si>
  <si>
    <t>HOT MOSTLY SUNNY HIGHS IN THE 90s WEST WINDS 15 TO 20 BECOMING NORTHEAST THIS AFTERNOON</t>
  </si>
  <si>
    <t>L-70  H- 104</t>
  </si>
  <si>
    <t>HOT SUNNY HIGHS AROUND 105 SOUTHWEST WINDS 15 TO 20 MPH</t>
  </si>
  <si>
    <t>DEPLOYED,  WELDED &amp; TESTED 9 PANELS x 255/ft 100 MIL.LINER</t>
  </si>
  <si>
    <t xml:space="preserve">H - 100 </t>
  </si>
  <si>
    <t>BREEZY  HOT MOSTLY SUNNY ISOLATED THUNDERSTORMS WITH LITTLE OR NO RAIN SOUTHWEST WINDS 15 TO 25 MPH</t>
  </si>
  <si>
    <t>DEPLOYED 2 PANELS WIND GOT UP BAG IT DOWN PULLYS AND ROPE IN PLACE WEDED BLANKS IN CROSSES CUTANCHOR BOLTS</t>
  </si>
  <si>
    <t>L -75  H-98</t>
  </si>
  <si>
    <t xml:space="preserve">WINDS THIS MORNING 15 MPH BREEZY +HOT MOSTLY SUNNY ISOLATED SPRINKLES + THUNDERSTORM LITTLE TO NO RAIN </t>
  </si>
  <si>
    <t>THIS MORNING SOME THUNDERSTORM MAY PRODUCE GUSTY WINDS</t>
  </si>
  <si>
    <t xml:space="preserve">Lost Time Due to Weather </t>
  </si>
  <si>
    <t xml:space="preserve"> WELDED 2 PANELS WELDED PULL STRAPS PUT 6 INCH PIPE UNDER LEADING EDGE +WELDED 1 FT. STRAPS 8 FT. CENTER</t>
  </si>
  <si>
    <t>L -75  H -95</t>
  </si>
  <si>
    <t xml:space="preserve">WINDS THIS MORNING 7 MPH  BREEZY +HOT MOSTLY SUNNY HIGHS IN UPPER 90s SOUTHWEST WINDS 15 TO 25 MPH </t>
  </si>
  <si>
    <t>Day</t>
  </si>
  <si>
    <t>PULLED 13 PANELS OVER POND PUT BATTENS BACK ON 100 MIL.CLEAN UP CUT LINER</t>
  </si>
  <si>
    <t xml:space="preserve">L-70  H- 99 </t>
  </si>
  <si>
    <t>HOT SUNNY HIGHS IN THE UPPER 90s WEST WINDS 15 TO 20 BECOMING SOUTH THIS AFTERNOON</t>
  </si>
  <si>
    <t>DEPLOYED 2 PANELS BEFORE WINDS GOT UP DRILLED 820 HOLES FOR BATTENS</t>
  </si>
  <si>
    <t xml:space="preserve">L -75  H -94 </t>
  </si>
  <si>
    <t xml:space="preserve">HOT , MOSTLY SUNNY HIGHS IN THE MID 90s SOUTH WINDS 15 TO 20 MPH </t>
  </si>
  <si>
    <t>Drilled 700 Holes</t>
  </si>
  <si>
    <t xml:space="preserve">L - 69   H-94 </t>
  </si>
  <si>
    <t xml:space="preserve">BREEZY MOSTLY SUNNY HIGH IN THE MID 90s SOUTH WINDS 15 TO 25 MPH </t>
  </si>
  <si>
    <t>DEPLOYED 2 PANELS WIND GOT UP BAGGED DOWN WELDED 6" PIPE DRILLED HOLE FOR BATTENS</t>
  </si>
  <si>
    <t>Drilled 180 Holes</t>
  </si>
  <si>
    <t xml:space="preserve">DEPLOYED 5 PANELS + DRILLED 180 HOLES </t>
  </si>
  <si>
    <t xml:space="preserve">L -64 H -90 </t>
  </si>
  <si>
    <t>WINDS THIS MORNING 0 MPH BREEZY MOSTLY SUNNY  HIGHS IN THE LOWER 90s SOUTH WINDS 15 TO 20 MPH</t>
  </si>
  <si>
    <t>Drilled 526 Holes</t>
  </si>
  <si>
    <t>WELDED 2 PANELS + PULL STRAPS  + DRILLED 526 HOLES</t>
  </si>
  <si>
    <t>L-67 H-85</t>
  </si>
  <si>
    <t xml:space="preserve">PARTLY CLOUDY WITH SLIGHT CHANCE OF SHOWERS +THUNDERSTORMS THIS MORNING THEN </t>
  </si>
  <si>
    <t>MOSTLY CLOUDY WITH A CHANCE SHOWERS +THUNDERSTORMS THIS AFTERNOON SOUTH WINDS 15 TO 20 CHANCE RAIN 50 PERCENT</t>
  </si>
  <si>
    <t>Drilled 640 Holes</t>
  </si>
  <si>
    <t>L -67  H-79</t>
  </si>
  <si>
    <t>PARTLY CLOUDY WITH SCATTERED SHOWER +THUNDERSTORMS THIS SOME MAY PRODUCE HEAVY RAIN</t>
  </si>
  <si>
    <t xml:space="preserve">SOUTEAST WINDS 15 </t>
  </si>
  <si>
    <t>RAIN OVER NIGHT PUMPED WATER - DRILLED HOLES FOR NEW BATTENS  - WELDED 6" PIPE</t>
  </si>
  <si>
    <t>Pulled liner</t>
  </si>
  <si>
    <t>L - 63  H- 80</t>
  </si>
  <si>
    <t xml:space="preserve">PARTLY CLOUDY HIGHS IN THE 80s SOUTH WINDS 15 MPH </t>
  </si>
  <si>
    <t xml:space="preserve"> PULLED LINER  ALL 100 MIL. IS DONE - PUT BATTENS BACK ON ALL THE WAY AROUND CLEAN UP ALL CUT LINER + SANDTUBES ALL THE AROUND POND</t>
  </si>
  <si>
    <t>1 Day</t>
  </si>
  <si>
    <t xml:space="preserve"> LAID OUTPATCHES + STRAPS WELDED 165 </t>
  </si>
  <si>
    <t>L-65 H -91</t>
  </si>
  <si>
    <t>MOSTLY SUNNY HIGH IN THE LOWER 90s SOUTHWEST WINDS 15 TO 20 MPH</t>
  </si>
  <si>
    <t xml:space="preserve">LAID OUT   PATCHES + STRAPS + WELDED 138 </t>
  </si>
  <si>
    <t xml:space="preserve">L -68  H -95 </t>
  </si>
  <si>
    <t>BREEZY HOT MOSTLY SUNNY HIGH IN THE 90s SOUTHWEST WINDS 15 TO 25 MPH</t>
  </si>
  <si>
    <t>1 Emergency</t>
  </si>
  <si>
    <t>Vent</t>
  </si>
  <si>
    <t xml:space="preserve">INSTALLED 8 SAMPLE PORT + 1 6"EMERGENCY VENT ON EAST SIDE 148 FT. </t>
  </si>
  <si>
    <t>GASKET +EPOXY + ANCHOR BOLTS</t>
  </si>
  <si>
    <t xml:space="preserve"> L -67  H -91</t>
  </si>
  <si>
    <t xml:space="preserve">BREEZY MOSTLY SUNNY THIS MORNING THEN MOSTLY CLOUDY WITH SCATTERED SHOWER +THUNDERSTOMS THIS AFTERNOON </t>
  </si>
  <si>
    <t>HIGHS IN THE 90 s SOUTHWEST WINDS 15 TO 20 BECOMING EAST 20 TO25 THIS AFTERNOON  CHANCE OF RAIN 50 PERCENT</t>
  </si>
  <si>
    <t>303 FT. GASKET +</t>
  </si>
  <si>
    <t xml:space="preserve">L -63  H-72 </t>
  </si>
  <si>
    <t>BREEZY MUCH COOLER MOSTLY CLOUDY ISOLATED SHOWERS THIS MORNING THEN SCATTERED SHOWERS THIS AFTERNOON HIGHS IN</t>
  </si>
  <si>
    <t>THE LOWERS 70s NORTHEAST WINDS 15 TO 25 CHANCE OF RAIN 30 PERCENT</t>
  </si>
  <si>
    <t>EPOXY + ANCHOR BOLTS</t>
  </si>
  <si>
    <t>Burned holes</t>
  </si>
  <si>
    <t>in foam</t>
  </si>
  <si>
    <t>BURNED HOLES IN FOAM + SET GASKET +EPOXY + ANCHOR BOLTS</t>
  </si>
  <si>
    <t xml:space="preserve"> L -59 H -82 </t>
  </si>
  <si>
    <t>MOSTLY CLOUDY WITH SCATTERED SHOWERS WINDS 15 TO 25 MPH</t>
  </si>
  <si>
    <t>BURNED HOLES 155 PC.OF FOAM SET 330FT. OF GASKET + EPOXY + ANCHOR BOLTS</t>
  </si>
  <si>
    <t xml:space="preserve">L -65  H - 82 </t>
  </si>
  <si>
    <t>MOSTLY CLOUDY THIS THEN BECOMING PARTLY CLOUDY SLIGHT CHANCE OF SHOWERS +THUNDERSTORMS HIGHS IN THE 80s</t>
  </si>
  <si>
    <t>SOUTH WINDS AROUND 15 THIS AFTERNOON CHANCE OF RAIN 20 PERCENT</t>
  </si>
  <si>
    <t>Burned Holes</t>
  </si>
  <si>
    <t>BURNED HOLES IN FOAM 180 PCS 285 FT. GASKET + EPOXY + ANCHOR BOLTS</t>
  </si>
  <si>
    <t>L -64  H - 88</t>
  </si>
  <si>
    <t>MOSTLY SUNNY HIGHS IN THE UPPER 80s SOUTHWEST WINDS AROUND 15 MPH</t>
  </si>
  <si>
    <t>In Foam</t>
  </si>
  <si>
    <t xml:space="preserve">Max Chan Keomany </t>
  </si>
  <si>
    <t xml:space="preserve">Boualaphanh Phanmaha </t>
  </si>
  <si>
    <t xml:space="preserve">Khengkham Lovan Siriphom </t>
  </si>
  <si>
    <t>Chanhorm Phaysakda</t>
  </si>
  <si>
    <t>Vongsavanh Phaysakda</t>
  </si>
  <si>
    <t>Thai Vilaboud</t>
  </si>
  <si>
    <t>Khamtanh Xaymonty</t>
  </si>
  <si>
    <t>Phichet Munwong</t>
  </si>
  <si>
    <t>Phouangsavanh Thammavongsa</t>
  </si>
  <si>
    <t xml:space="preserve">Khamphone Sihavong </t>
  </si>
  <si>
    <t>Ketkeo Douanglamany -KK</t>
  </si>
  <si>
    <t xml:space="preserve">Soudsamay Phouthavong Lovan </t>
  </si>
  <si>
    <t>Burn Holes</t>
  </si>
  <si>
    <t>In Foam 210</t>
  </si>
  <si>
    <t xml:space="preserve"> L -64  H - 93 </t>
  </si>
  <si>
    <t xml:space="preserve">BREEZY HOT MOSTLY SUNNY HIGH IN THE 90s SOUTHWEST WINDS 15 TO 25 MPH </t>
  </si>
  <si>
    <t xml:space="preserve"> BURNED HOLES IN FOAM (210 HOLES ) SET GASKET + EPOXY + ANCHOR BOLTS </t>
  </si>
  <si>
    <t>4680 liner</t>
  </si>
  <si>
    <t>4680 foam</t>
  </si>
  <si>
    <t>4680 sqft  60 mil. Liner 4680 sqft foam will weld tomorrow morning</t>
  </si>
  <si>
    <t xml:space="preserve"> 6830 sqft foam insl. Will welded 60 mil. Tomorrow</t>
  </si>
  <si>
    <t xml:space="preserve">L - 69  H - 95 </t>
  </si>
  <si>
    <t xml:space="preserve">MOSTLY SUNNY THIS MORNING THEN BECOMING PARTLY CLOUDY HIGHS IN THE 90s </t>
  </si>
  <si>
    <t xml:space="preserve">south winds around 15 mph </t>
  </si>
  <si>
    <t xml:space="preserve">   liner</t>
  </si>
  <si>
    <t xml:space="preserve">   foam</t>
  </si>
  <si>
    <t>EXT. WELDED 978 FT.  DEPOLYED 15,420 LINER  +  15,420 FOAM</t>
  </si>
  <si>
    <t xml:space="preserve"> L - 69  H - 95</t>
  </si>
  <si>
    <t xml:space="preserve">PARTLY CLOUDY THIS MORNING THEN MOSTLY CLOUDY WITH SCATTLED SHOWERS +THUNDERSTORMS </t>
  </si>
  <si>
    <t>THIS AFTERNOON HIGHS IN THE LOWER 90s SOUTHEAST WIND AROUND 15 MPH CHANCE OF RAIN 40 PERCENT</t>
  </si>
  <si>
    <t xml:space="preserve">  liner </t>
  </si>
  <si>
    <t xml:space="preserve">  foam</t>
  </si>
  <si>
    <t>WXT.WELDED 978 FT.  DEPOLYED 10,080 LINER + 10,080 FOAM</t>
  </si>
  <si>
    <t>L - 68  H - 88</t>
  </si>
  <si>
    <t>MOSTLY SUNNY THIS MORNING THEN PARTLY CLOUDY WITH ISOLATED SHOWERS + THUNDERSTORMS THIS AFTERNOON</t>
  </si>
  <si>
    <t>HIGHS IN THE MID 90s SOUTHEAST WINDS AROUND 15 MPH THIS AFTERNOON CHANCE OF RAIN 20 PERCENT</t>
  </si>
  <si>
    <t>liner</t>
  </si>
  <si>
    <t>foam</t>
  </si>
  <si>
    <t>EXT. WELDED 652 FT. DEPOLYED 5,040SF. LINER  + 5040SF. FOAM</t>
  </si>
  <si>
    <t>L - 69  H- 94</t>
  </si>
  <si>
    <t>HOT , MOSTLY SUNNY HIGHS IN THE UPPER 90s SOUTH WINDS AROUND 15 MPH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</si>
</sst>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.0_);_(* \(#,##0.0\);_(* &quot;-&quot;??_);_(@_)"/>
    <numFmt numFmtId="166" formatCode="_(* #,##0.0_);_(* \(#,##0.0\);_(* &quot;-&quot;?_);_(@_)"/>
    <numFmt numFmtId="167" formatCode="_(* #,##0_);_(* \(#,##0\);_(* &quot;-&quot;??_);_(@_)"/>
    <numFmt numFmtId="168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9"/>
      <name val="Arial"/>
      <family val="2"/>
    </font>
    <font>
      <sz val="12"/>
      <color theme="1"/>
      <name val="Calibri"/>
      <family val="2"/>
      <scheme val="minor"/>
    </font>
    <font>
      <sz val="12"/>
      <name val="Times New Roman"/>
      <family val="1"/>
    </font>
    <font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8">
    <xf numFmtId="0" fontId="0" fillId="0" borderId="0" xfId="0"/>
    <xf numFmtId="0" fontId="3" fillId="0" borderId="0" xfId="0" applyFont="1"/>
    <xf numFmtId="165" fontId="3" fillId="0" borderId="0" xfId="1" applyNumberFormat="1" applyFont="1"/>
    <xf numFmtId="0" fontId="4" fillId="0" borderId="0" xfId="0" applyFont="1"/>
    <xf numFmtId="165" fontId="4" fillId="0" borderId="0" xfId="1" applyNumberFormat="1" applyFont="1"/>
    <xf numFmtId="0" fontId="5" fillId="0" borderId="0" xfId="0" applyFont="1" applyAlignment="1">
      <alignment horizontal="right"/>
    </xf>
    <xf numFmtId="0" fontId="5" fillId="2" borderId="1" xfId="0" applyFont="1" applyFill="1" applyBorder="1"/>
    <xf numFmtId="0" fontId="5" fillId="0" borderId="0" xfId="0" applyFont="1"/>
    <xf numFmtId="0" fontId="4" fillId="0" borderId="1" xfId="0" applyFont="1" applyBorder="1"/>
    <xf numFmtId="166" fontId="4" fillId="0" borderId="1" xfId="0" applyNumberFormat="1" applyFont="1" applyBorder="1"/>
    <xf numFmtId="0" fontId="5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/>
    <xf numFmtId="0" fontId="7" fillId="0" borderId="1" xfId="0" applyFont="1" applyBorder="1"/>
    <xf numFmtId="165" fontId="4" fillId="0" borderId="1" xfId="1" applyNumberFormat="1" applyFont="1" applyBorder="1"/>
    <xf numFmtId="165" fontId="4" fillId="0" borderId="2" xfId="1" applyNumberFormat="1" applyFont="1" applyBorder="1"/>
    <xf numFmtId="0" fontId="4" fillId="0" borderId="3" xfId="0" applyFont="1" applyBorder="1"/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5" fontId="6" fillId="0" borderId="1" xfId="1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5" fontId="6" fillId="0" borderId="0" xfId="1" applyNumberFormat="1" applyFont="1" applyBorder="1" applyAlignment="1">
      <alignment horizontal="center" vertical="center" wrapText="1"/>
    </xf>
    <xf numFmtId="167" fontId="4" fillId="0" borderId="1" xfId="1" applyNumberFormat="1" applyFont="1" applyBorder="1"/>
    <xf numFmtId="168" fontId="4" fillId="0" borderId="1" xfId="2" applyNumberFormat="1" applyFont="1" applyBorder="1"/>
    <xf numFmtId="165" fontId="4" fillId="0" borderId="0" xfId="1" applyNumberFormat="1" applyFont="1" applyBorder="1"/>
    <xf numFmtId="167" fontId="4" fillId="0" borderId="0" xfId="1" applyNumberFormat="1" applyFont="1"/>
    <xf numFmtId="166" fontId="4" fillId="0" borderId="0" xfId="0" applyNumberFormat="1" applyFont="1"/>
    <xf numFmtId="0" fontId="7" fillId="0" borderId="0" xfId="0" applyFont="1" applyAlignment="1">
      <alignment horizontal="left"/>
    </xf>
    <xf numFmtId="164" fontId="4" fillId="0" borderId="0" xfId="0" applyNumberFormat="1" applyFont="1"/>
    <xf numFmtId="0" fontId="8" fillId="0" borderId="0" xfId="0" applyFont="1"/>
    <xf numFmtId="0" fontId="5" fillId="0" borderId="1" xfId="0" applyFont="1" applyBorder="1" applyAlignment="1">
      <alignment horizontal="right"/>
    </xf>
    <xf numFmtId="0" fontId="4" fillId="0" borderId="1" xfId="1" applyNumberFormat="1" applyFont="1" applyBorder="1"/>
    <xf numFmtId="0" fontId="4" fillId="0" borderId="0" xfId="1" applyNumberFormat="1" applyFont="1"/>
    <xf numFmtId="0" fontId="5" fillId="3" borderId="1" xfId="0" applyFont="1" applyFill="1" applyBorder="1" applyAlignment="1">
      <alignment horizontal="left"/>
    </xf>
    <xf numFmtId="14" fontId="5" fillId="4" borderId="1" xfId="0" applyNumberFormat="1" applyFont="1" applyFill="1" applyBorder="1" applyAlignment="1">
      <alignment horizontal="left"/>
    </xf>
    <xf numFmtId="0" fontId="4" fillId="0" borderId="2" xfId="1" applyNumberFormat="1" applyFont="1" applyBorder="1"/>
    <xf numFmtId="0" fontId="4" fillId="0" borderId="0" xfId="1" applyNumberFormat="1" applyFont="1" applyBorder="1"/>
    <xf numFmtId="3" fontId="4" fillId="0" borderId="1" xfId="0" applyNumberFormat="1" applyFont="1" applyBorder="1"/>
    <xf numFmtId="166" fontId="4" fillId="0" borderId="1" xfId="1" applyNumberFormat="1" applyFont="1" applyBorder="1"/>
    <xf numFmtId="0" fontId="4" fillId="2" borderId="1" xfId="0" applyFont="1" applyFill="1" applyBorder="1"/>
    <xf numFmtId="165" fontId="4" fillId="2" borderId="1" xfId="1" applyNumberFormat="1" applyFont="1" applyFill="1" applyBorder="1"/>
    <xf numFmtId="0" fontId="4" fillId="2" borderId="1" xfId="1" applyNumberFormat="1" applyFont="1" applyFill="1" applyBorder="1"/>
    <xf numFmtId="0" fontId="4" fillId="2" borderId="0" xfId="0" applyFont="1" applyFill="1"/>
    <xf numFmtId="0" fontId="9" fillId="2" borderId="0" xfId="0" applyFont="1" applyFill="1"/>
    <xf numFmtId="0" fontId="8" fillId="5" borderId="0" xfId="0" applyFont="1" applyFill="1"/>
    <xf numFmtId="0" fontId="0" fillId="5" borderId="0" xfId="0" applyFill="1"/>
    <xf numFmtId="0" fontId="4" fillId="5" borderId="1" xfId="0" applyFont="1" applyFill="1" applyBorder="1"/>
    <xf numFmtId="165" fontId="4" fillId="5" borderId="1" xfId="1" applyNumberFormat="1" applyFont="1" applyFill="1" applyBorder="1"/>
    <xf numFmtId="0" fontId="4" fillId="0" borderId="1" xfId="1" applyNumberFormat="1" applyFont="1" applyFill="1" applyBorder="1"/>
    <xf numFmtId="0" fontId="4" fillId="0" borderId="1" xfId="2" applyNumberFormat="1" applyFont="1" applyBorder="1"/>
    <xf numFmtId="0" fontId="8" fillId="2" borderId="0" xfId="0" applyFont="1" applyFill="1"/>
    <xf numFmtId="0" fontId="0" fillId="2" borderId="0" xfId="0" applyFill="1"/>
    <xf numFmtId="2" fontId="4" fillId="0" borderId="1" xfId="0" applyNumberFormat="1" applyFont="1" applyBorder="1"/>
    <xf numFmtId="14" fontId="0" fillId="0" borderId="0" xfId="0" applyNumberFormat="1"/>
    <xf numFmtId="9" fontId="4" fillId="0" borderId="0" xfId="0" applyNumberFormat="1" applyFont="1"/>
    <xf numFmtId="10" fontId="4" fillId="2" borderId="0" xfId="0" applyNumberFormat="1" applyFont="1" applyFill="1"/>
    <xf numFmtId="9" fontId="4" fillId="2" borderId="0" xfId="0" applyNumberFormat="1" applyFont="1" applyFill="1"/>
    <xf numFmtId="0" fontId="0" fillId="0" borderId="1" xfId="0" applyBorder="1"/>
    <xf numFmtId="14" fontId="0" fillId="0" borderId="1" xfId="0" applyNumberFormat="1" applyBorder="1"/>
    <xf numFmtId="0" fontId="10" fillId="0" borderId="0" xfId="0" applyFont="1"/>
    <xf numFmtId="0" fontId="10" fillId="0" borderId="0" xfId="0" applyFont="1" applyAlignment="1">
      <alignment vertical="center"/>
    </xf>
    <xf numFmtId="3" fontId="4" fillId="0" borderId="0" xfId="0" applyNumberFormat="1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3C332-0914-4D44-92ED-EE60B2C3855E}">
  <dimension ref="A1:R58"/>
  <sheetViews>
    <sheetView zoomScale="85" zoomScaleNormal="85" workbookViewId="0">
      <selection activeCell="R3" sqref="R3"/>
    </sheetView>
  </sheetViews>
  <sheetFormatPr defaultRowHeight="14.4" x14ac:dyDescent="0.3"/>
  <cols>
    <col min="1" max="1" width="11.33203125" customWidth="1"/>
    <col min="2" max="2" width="29.33203125" customWidth="1"/>
    <col min="3" max="3" width="22.109375" customWidth="1"/>
    <col min="4" max="4" width="12.6640625" customWidth="1"/>
    <col min="5" max="5" width="14.44140625" customWidth="1"/>
    <col min="6" max="6" width="13.33203125" customWidth="1"/>
    <col min="8" max="8" width="20.44140625" customWidth="1"/>
    <col min="12" max="12" width="13.44140625" customWidth="1"/>
    <col min="13" max="13" width="10.6640625" customWidth="1"/>
    <col min="14" max="14" width="10" bestFit="1" customWidth="1"/>
    <col min="15" max="15" width="10.6640625" customWidth="1"/>
    <col min="16" max="16" width="11.21875" customWidth="1"/>
    <col min="18" max="18" width="9.6640625" bestFit="1" customWidth="1"/>
  </cols>
  <sheetData>
    <row r="1" spans="1:18" ht="18" x14ac:dyDescent="0.35">
      <c r="A1" s="66" t="s">
        <v>0</v>
      </c>
      <c r="B1" s="66"/>
      <c r="C1" s="66"/>
      <c r="D1" s="66"/>
      <c r="E1" s="66"/>
      <c r="F1" s="66"/>
      <c r="G1" s="66"/>
      <c r="H1" s="1"/>
      <c r="I1" s="2"/>
      <c r="J1" s="1"/>
      <c r="K1" s="1"/>
      <c r="L1" s="1"/>
      <c r="M1" s="1"/>
      <c r="N1" s="1"/>
      <c r="O1" s="1"/>
      <c r="P1" s="1"/>
    </row>
    <row r="2" spans="1:18" ht="15.6" x14ac:dyDescent="0.3">
      <c r="A2" s="3"/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</row>
    <row r="3" spans="1:18" ht="15.6" x14ac:dyDescent="0.3">
      <c r="A3" s="3"/>
      <c r="B3" s="5" t="s">
        <v>1</v>
      </c>
      <c r="C3" s="6" t="s">
        <v>43</v>
      </c>
      <c r="D3" s="7"/>
      <c r="E3" s="3"/>
      <c r="F3" s="5" t="s">
        <v>2</v>
      </c>
      <c r="G3" s="8">
        <v>4355</v>
      </c>
      <c r="H3" s="34" t="s">
        <v>41</v>
      </c>
      <c r="I3" s="35">
        <v>49</v>
      </c>
      <c r="J3" s="3"/>
      <c r="K3" s="3"/>
      <c r="L3" s="3"/>
      <c r="N3" s="3" t="s">
        <v>163</v>
      </c>
      <c r="O3" s="3"/>
      <c r="P3" s="3"/>
      <c r="Q3" s="61" t="s">
        <v>196</v>
      </c>
      <c r="R3" s="62">
        <v>44702</v>
      </c>
    </row>
    <row r="4" spans="1:18" ht="15.6" x14ac:dyDescent="0.3">
      <c r="A4" s="3"/>
      <c r="B4" s="5" t="s">
        <v>3</v>
      </c>
      <c r="C4" s="37">
        <v>300155</v>
      </c>
      <c r="D4" s="7"/>
      <c r="E4" s="3"/>
      <c r="F4" s="5" t="s">
        <v>4</v>
      </c>
      <c r="G4" s="56">
        <f>N16+'6-30-22'!G4</f>
        <v>3402.5</v>
      </c>
      <c r="H4" s="34" t="s">
        <v>42</v>
      </c>
      <c r="I4" s="16">
        <v>47</v>
      </c>
      <c r="J4" s="58"/>
      <c r="K4" s="3"/>
      <c r="L4" s="3"/>
      <c r="M4" s="3"/>
      <c r="N4" s="3"/>
      <c r="O4" s="3"/>
      <c r="P4" s="3" t="s">
        <v>52</v>
      </c>
      <c r="Q4" s="61" t="s">
        <v>196</v>
      </c>
      <c r="R4" s="62">
        <v>44732</v>
      </c>
    </row>
    <row r="5" spans="1:18" ht="15.6" x14ac:dyDescent="0.3">
      <c r="A5" s="3"/>
      <c r="B5" s="5" t="s">
        <v>5</v>
      </c>
      <c r="C5" s="38"/>
      <c r="D5" s="3"/>
      <c r="E5" s="3"/>
      <c r="F5" s="3"/>
      <c r="G5" s="59">
        <f>G4/G3</f>
        <v>0.78128587830080365</v>
      </c>
      <c r="H5" s="3"/>
      <c r="I5" s="60">
        <f>I4/I3</f>
        <v>0.95918367346938771</v>
      </c>
      <c r="J5" s="3"/>
      <c r="K5" s="3"/>
      <c r="L5" s="3"/>
      <c r="M5" s="3"/>
      <c r="N5" s="3"/>
      <c r="O5" s="3"/>
      <c r="P5" s="3"/>
      <c r="Q5" s="61"/>
      <c r="R5" s="61"/>
    </row>
    <row r="6" spans="1:18" ht="15.6" x14ac:dyDescent="0.3">
      <c r="A6" s="3"/>
      <c r="B6" s="5"/>
      <c r="C6" s="3"/>
      <c r="D6" s="3"/>
      <c r="E6" s="3"/>
      <c r="F6" s="3"/>
      <c r="G6" s="3"/>
      <c r="H6" s="3"/>
      <c r="I6" s="4"/>
      <c r="J6" s="3"/>
      <c r="K6" s="30"/>
      <c r="L6" s="3"/>
      <c r="M6" s="3"/>
      <c r="N6" s="3"/>
      <c r="O6" s="3"/>
      <c r="P6" s="3"/>
      <c r="Q6" s="61"/>
      <c r="R6" s="61"/>
    </row>
    <row r="7" spans="1:18" ht="15.6" x14ac:dyDescent="0.3">
      <c r="A7" s="10" t="s">
        <v>6</v>
      </c>
      <c r="B7" s="11"/>
      <c r="C7" s="12" t="s">
        <v>7</v>
      </c>
      <c r="D7" s="3"/>
      <c r="E7" s="12" t="s">
        <v>8</v>
      </c>
      <c r="F7" s="12" t="s">
        <v>34</v>
      </c>
      <c r="G7" s="3"/>
      <c r="H7" s="67" t="s">
        <v>7</v>
      </c>
      <c r="I7" s="67"/>
      <c r="J7" s="12" t="s">
        <v>8</v>
      </c>
      <c r="K7" s="3"/>
      <c r="L7" s="67" t="s">
        <v>7</v>
      </c>
      <c r="M7" s="67"/>
      <c r="N7" s="12" t="s">
        <v>8</v>
      </c>
      <c r="O7" s="12" t="s">
        <v>34</v>
      </c>
      <c r="P7" s="3"/>
      <c r="Q7" s="61"/>
      <c r="R7" s="61"/>
    </row>
    <row r="8" spans="1:18" ht="15.6" x14ac:dyDescent="0.3">
      <c r="A8" s="13">
        <v>1</v>
      </c>
      <c r="B8" s="5" t="s">
        <v>9</v>
      </c>
      <c r="C8" s="14" t="s">
        <v>35</v>
      </c>
      <c r="D8" s="15"/>
      <c r="E8" s="35"/>
      <c r="F8" s="16">
        <v>66</v>
      </c>
      <c r="G8" s="11">
        <v>9</v>
      </c>
      <c r="H8" s="14" t="s">
        <v>40</v>
      </c>
      <c r="I8" s="8"/>
      <c r="J8" s="35"/>
      <c r="K8" s="11">
        <v>17</v>
      </c>
      <c r="L8" s="63" t="s">
        <v>239</v>
      </c>
      <c r="M8" s="8"/>
      <c r="N8" s="35"/>
      <c r="O8" s="16">
        <v>83</v>
      </c>
      <c r="P8" s="3"/>
      <c r="Q8" s="61"/>
      <c r="R8" s="61"/>
    </row>
    <row r="9" spans="1:18" ht="15.6" x14ac:dyDescent="0.3">
      <c r="A9" s="13">
        <v>2</v>
      </c>
      <c r="B9" s="5" t="s">
        <v>10</v>
      </c>
      <c r="C9" s="14" t="s">
        <v>37</v>
      </c>
      <c r="D9" s="8"/>
      <c r="E9" s="35"/>
      <c r="F9" s="16"/>
      <c r="G9" s="11">
        <v>10</v>
      </c>
      <c r="H9" s="64" t="s">
        <v>232</v>
      </c>
      <c r="I9" s="8"/>
      <c r="J9" s="39"/>
      <c r="K9" s="11">
        <v>18</v>
      </c>
      <c r="L9" s="63" t="s">
        <v>229</v>
      </c>
      <c r="M9" s="8"/>
      <c r="N9" s="39"/>
      <c r="O9" s="16">
        <v>84</v>
      </c>
      <c r="P9" s="3"/>
      <c r="Q9" s="61"/>
      <c r="R9" s="61"/>
    </row>
    <row r="10" spans="1:18" ht="15.6" x14ac:dyDescent="0.3">
      <c r="A10" s="13">
        <v>3</v>
      </c>
      <c r="B10" s="5" t="s">
        <v>11</v>
      </c>
      <c r="C10" s="14" t="s">
        <v>36</v>
      </c>
      <c r="D10" s="8"/>
      <c r="E10" s="35"/>
      <c r="F10" s="16">
        <v>78</v>
      </c>
      <c r="G10" s="11">
        <v>11</v>
      </c>
      <c r="H10" s="64" t="s">
        <v>233</v>
      </c>
      <c r="I10" s="8"/>
      <c r="J10" s="39"/>
      <c r="K10" s="11">
        <v>19</v>
      </c>
      <c r="L10" s="63" t="s">
        <v>230</v>
      </c>
      <c r="M10" s="8"/>
      <c r="N10" s="39"/>
      <c r="O10" s="16">
        <v>81</v>
      </c>
      <c r="P10" s="3"/>
      <c r="Q10" s="61"/>
      <c r="R10" s="61"/>
    </row>
    <row r="11" spans="1:18" ht="15.6" x14ac:dyDescent="0.3">
      <c r="A11" s="13">
        <v>4</v>
      </c>
      <c r="B11" s="5" t="s">
        <v>12</v>
      </c>
      <c r="C11" s="14" t="s">
        <v>29</v>
      </c>
      <c r="D11" s="8"/>
      <c r="E11" s="35"/>
      <c r="F11" s="16"/>
      <c r="G11" s="11">
        <v>12</v>
      </c>
      <c r="H11" s="64" t="s">
        <v>234</v>
      </c>
      <c r="I11" s="8"/>
      <c r="J11" s="39"/>
      <c r="K11" s="11">
        <v>20</v>
      </c>
      <c r="L11" s="63" t="s">
        <v>231</v>
      </c>
      <c r="M11" s="8"/>
      <c r="N11" s="39"/>
      <c r="O11" s="16">
        <v>79</v>
      </c>
      <c r="P11" s="3"/>
      <c r="Q11" s="61"/>
      <c r="R11" s="61"/>
    </row>
    <row r="12" spans="1:18" ht="15.6" x14ac:dyDescent="0.3">
      <c r="A12" s="13">
        <v>5</v>
      </c>
      <c r="B12" s="3"/>
      <c r="C12" s="31" t="s">
        <v>30</v>
      </c>
      <c r="D12" s="8"/>
      <c r="E12" s="35"/>
      <c r="F12" s="16"/>
      <c r="G12" s="11">
        <v>13</v>
      </c>
      <c r="H12" s="64" t="s">
        <v>235</v>
      </c>
      <c r="I12" s="8"/>
      <c r="J12" s="39"/>
      <c r="K12" s="11">
        <v>21</v>
      </c>
      <c r="L12" s="64" t="s">
        <v>240</v>
      </c>
      <c r="M12" s="8"/>
      <c r="N12" s="39"/>
      <c r="O12" s="16"/>
      <c r="P12" s="3"/>
    </row>
    <row r="13" spans="1:18" ht="15.6" x14ac:dyDescent="0.3">
      <c r="A13" s="13">
        <v>6</v>
      </c>
      <c r="B13" s="3"/>
      <c r="C13" s="14" t="s">
        <v>31</v>
      </c>
      <c r="D13" s="8"/>
      <c r="E13" s="35"/>
      <c r="F13" s="16">
        <v>74</v>
      </c>
      <c r="G13" s="11">
        <v>14</v>
      </c>
      <c r="H13" s="63" t="s">
        <v>236</v>
      </c>
      <c r="I13" s="8"/>
      <c r="J13" s="39"/>
      <c r="K13" s="11">
        <v>22</v>
      </c>
      <c r="L13" s="18"/>
      <c r="M13" s="8"/>
      <c r="N13" s="39"/>
      <c r="O13" s="16" t="s">
        <v>52</v>
      </c>
      <c r="P13" s="3"/>
    </row>
    <row r="14" spans="1:18" ht="15.6" x14ac:dyDescent="0.3">
      <c r="A14" s="13">
        <v>7</v>
      </c>
      <c r="B14" s="5" t="s">
        <v>52</v>
      </c>
      <c r="C14" s="14" t="s">
        <v>39</v>
      </c>
      <c r="D14" s="8"/>
      <c r="E14" s="35"/>
      <c r="F14" s="16"/>
      <c r="G14" s="11">
        <v>15</v>
      </c>
      <c r="H14" s="64" t="s">
        <v>237</v>
      </c>
      <c r="I14" s="8"/>
      <c r="J14" s="39"/>
      <c r="K14" s="11">
        <v>23</v>
      </c>
      <c r="L14" s="3"/>
      <c r="M14" s="8"/>
      <c r="N14" s="39"/>
      <c r="O14" s="16"/>
      <c r="P14" s="3"/>
    </row>
    <row r="15" spans="1:18" ht="15.6" x14ac:dyDescent="0.3">
      <c r="A15" s="13">
        <v>8</v>
      </c>
      <c r="B15" s="3"/>
      <c r="C15" s="14" t="s">
        <v>38</v>
      </c>
      <c r="D15" s="8"/>
      <c r="E15" s="35"/>
      <c r="F15" s="16"/>
      <c r="G15" s="11">
        <v>16</v>
      </c>
      <c r="H15" s="64" t="s">
        <v>238</v>
      </c>
      <c r="I15" s="8"/>
      <c r="J15" s="35"/>
      <c r="K15" s="11">
        <v>24</v>
      </c>
      <c r="L15" s="3"/>
      <c r="M15" s="8"/>
      <c r="N15" s="39"/>
      <c r="O15" s="16"/>
      <c r="P15" s="3"/>
    </row>
    <row r="16" spans="1:18" ht="15.6" x14ac:dyDescent="0.3">
      <c r="A16" s="3"/>
      <c r="B16" s="3"/>
      <c r="C16" s="3"/>
      <c r="D16" s="3"/>
      <c r="E16" s="3"/>
      <c r="F16" s="3"/>
      <c r="G16" s="13"/>
      <c r="H16" s="7"/>
      <c r="I16" s="3"/>
      <c r="J16" s="3"/>
      <c r="K16" s="13"/>
      <c r="L16" s="7" t="s">
        <v>13</v>
      </c>
      <c r="M16" s="3"/>
      <c r="N16" s="8"/>
      <c r="O16" s="3"/>
      <c r="P16" s="3"/>
    </row>
    <row r="17" spans="1:16" ht="15.6" x14ac:dyDescent="0.3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  <c r="L17" s="3"/>
      <c r="M17" s="3"/>
      <c r="N17" s="3"/>
      <c r="O17" s="3"/>
      <c r="P17" s="3"/>
    </row>
    <row r="18" spans="1:16" ht="93.6" x14ac:dyDescent="0.3">
      <c r="A18" s="19"/>
      <c r="B18" s="20" t="s">
        <v>14</v>
      </c>
      <c r="C18" s="21" t="s">
        <v>15</v>
      </c>
      <c r="D18" s="22" t="s">
        <v>16</v>
      </c>
      <c r="E18" s="22" t="s">
        <v>17</v>
      </c>
      <c r="F18" s="22" t="s">
        <v>18</v>
      </c>
      <c r="G18" s="22" t="s">
        <v>19</v>
      </c>
      <c r="H18" s="22" t="s">
        <v>18</v>
      </c>
      <c r="I18" s="22" t="s">
        <v>19</v>
      </c>
      <c r="J18" s="22" t="s">
        <v>20</v>
      </c>
      <c r="K18" s="23" t="s">
        <v>21</v>
      </c>
      <c r="L18" s="24"/>
      <c r="M18" s="23" t="s">
        <v>22</v>
      </c>
      <c r="N18" s="23" t="s">
        <v>23</v>
      </c>
      <c r="O18" s="23" t="s">
        <v>24</v>
      </c>
      <c r="P18" s="23" t="s">
        <v>25</v>
      </c>
    </row>
    <row r="19" spans="1:16" ht="15.6" x14ac:dyDescent="0.3">
      <c r="A19" s="19"/>
      <c r="B19" s="19"/>
      <c r="C19" s="24"/>
      <c r="D19" s="24"/>
      <c r="E19" s="24"/>
      <c r="F19" s="24"/>
      <c r="G19" s="24"/>
      <c r="H19" s="24"/>
      <c r="I19" s="24"/>
      <c r="J19" s="24"/>
      <c r="K19" s="25"/>
      <c r="L19" s="24"/>
      <c r="M19" s="3"/>
      <c r="N19" s="3"/>
      <c r="O19" s="3"/>
      <c r="P19" s="3"/>
    </row>
    <row r="20" spans="1:16" ht="15.6" x14ac:dyDescent="0.3">
      <c r="A20" s="3"/>
      <c r="B20" s="8" t="s">
        <v>26</v>
      </c>
      <c r="C20" s="8">
        <v>1</v>
      </c>
      <c r="D20" s="8">
        <v>1</v>
      </c>
      <c r="E20" s="8"/>
      <c r="F20" s="8"/>
      <c r="G20" s="35">
        <v>0</v>
      </c>
      <c r="H20" s="8"/>
      <c r="I20" s="16"/>
      <c r="J20" s="35">
        <f>F20*G20+H20*I20</f>
        <v>0</v>
      </c>
      <c r="K20" s="16" t="e">
        <f>E20/(J20)</f>
        <v>#DIV/0!</v>
      </c>
      <c r="L20" s="3"/>
      <c r="M20" s="26">
        <v>0</v>
      </c>
      <c r="N20" s="27">
        <f>M20/C20</f>
        <v>0</v>
      </c>
      <c r="O20" s="35">
        <f>J20+'6-30-22'!O20</f>
        <v>108</v>
      </c>
      <c r="P20" s="26">
        <f>M20/O20</f>
        <v>0</v>
      </c>
    </row>
    <row r="21" spans="1:16" ht="15.6" x14ac:dyDescent="0.3">
      <c r="A21" s="3"/>
      <c r="B21" s="3"/>
      <c r="C21" s="3"/>
      <c r="D21" s="3"/>
      <c r="E21" s="3"/>
      <c r="F21" s="3"/>
      <c r="G21" s="40"/>
      <c r="H21" s="3"/>
      <c r="I21" s="28"/>
      <c r="J21" s="40"/>
      <c r="K21" s="28"/>
      <c r="L21" s="3"/>
      <c r="M21" s="29"/>
      <c r="N21" s="3"/>
      <c r="O21" s="3"/>
      <c r="P21" s="3"/>
    </row>
    <row r="22" spans="1:16" ht="15.6" x14ac:dyDescent="0.3">
      <c r="A22" s="3"/>
      <c r="B22" s="8" t="s">
        <v>53</v>
      </c>
      <c r="C22" s="8">
        <v>125400</v>
      </c>
      <c r="D22" s="41"/>
      <c r="E22" s="41"/>
      <c r="F22" s="8"/>
      <c r="G22" s="35"/>
      <c r="H22" s="8"/>
      <c r="I22" s="16"/>
      <c r="J22" s="35">
        <f>F22*G22+H22*I22</f>
        <v>0</v>
      </c>
      <c r="K22" s="16" t="e">
        <f>E22/(J22)</f>
        <v>#DIV/0!</v>
      </c>
      <c r="L22" s="3"/>
      <c r="M22" s="26">
        <f>E22+'6-30-22'!M22</f>
        <v>125400</v>
      </c>
      <c r="N22" s="27">
        <f>M22/C22</f>
        <v>1</v>
      </c>
      <c r="O22" s="35">
        <f>J22+'6-30-22'!O22</f>
        <v>679.75</v>
      </c>
      <c r="P22" s="26">
        <f>M22/O22</f>
        <v>184.47958808385437</v>
      </c>
    </row>
    <row r="23" spans="1:16" ht="15.6" x14ac:dyDescent="0.3">
      <c r="A23" s="3"/>
      <c r="B23" s="3"/>
      <c r="C23" s="3"/>
      <c r="D23" s="3"/>
      <c r="E23" s="3"/>
      <c r="F23" s="3"/>
      <c r="G23" s="40"/>
      <c r="H23" s="3"/>
      <c r="I23" s="28"/>
      <c r="J23" s="40"/>
      <c r="K23" s="28"/>
      <c r="L23" s="3"/>
      <c r="M23" s="29"/>
      <c r="N23" s="3"/>
      <c r="O23" s="36"/>
      <c r="P23" s="29"/>
    </row>
    <row r="24" spans="1:16" ht="15.6" x14ac:dyDescent="0.3">
      <c r="A24" s="3"/>
      <c r="B24" s="8" t="s">
        <v>54</v>
      </c>
      <c r="C24" s="8">
        <v>125400</v>
      </c>
      <c r="D24" s="8"/>
      <c r="E24" s="8"/>
      <c r="F24" s="8"/>
      <c r="G24" s="35"/>
      <c r="H24" s="8"/>
      <c r="I24" s="16"/>
      <c r="J24" s="35">
        <f>F24*G24+H24*I24</f>
        <v>0</v>
      </c>
      <c r="K24" s="16" t="e">
        <f>E24/(J24)</f>
        <v>#DIV/0!</v>
      </c>
      <c r="L24" s="3"/>
      <c r="M24" s="26">
        <f>E24+'6-30-22'!M24</f>
        <v>125400</v>
      </c>
      <c r="N24" s="27">
        <f>M24/C24</f>
        <v>1</v>
      </c>
      <c r="O24" s="35">
        <f>J24+'6-30-22'!O24</f>
        <v>449.75</v>
      </c>
      <c r="P24" s="26">
        <f>M24/O24</f>
        <v>278.82156753752082</v>
      </c>
    </row>
    <row r="25" spans="1:16" ht="15.6" x14ac:dyDescent="0.3">
      <c r="A25" s="3"/>
      <c r="B25" s="3"/>
      <c r="C25" s="3"/>
      <c r="D25" s="3"/>
      <c r="E25" s="3"/>
      <c r="F25" s="3"/>
      <c r="G25" s="36"/>
      <c r="H25" s="3"/>
      <c r="I25" s="4"/>
      <c r="J25" s="36"/>
      <c r="K25" s="4"/>
      <c r="L25" s="3"/>
      <c r="M25" s="29"/>
      <c r="N25" s="3"/>
      <c r="O25" s="3"/>
      <c r="P25" s="3"/>
    </row>
    <row r="26" spans="1:16" ht="15.6" x14ac:dyDescent="0.3">
      <c r="A26" s="3"/>
      <c r="B26" s="8" t="s">
        <v>44</v>
      </c>
      <c r="C26" s="8">
        <v>3040</v>
      </c>
      <c r="D26" s="8"/>
      <c r="E26" s="8"/>
      <c r="F26" s="8"/>
      <c r="G26" s="35"/>
      <c r="H26" s="8"/>
      <c r="I26" s="16"/>
      <c r="J26" s="35">
        <f>F26*G26+H26*I26</f>
        <v>0</v>
      </c>
      <c r="K26" s="16" t="e">
        <f>E26/(J26)</f>
        <v>#DIV/0!</v>
      </c>
      <c r="L26" s="3"/>
      <c r="M26" s="26">
        <f>E26+'6-30-22'!M26</f>
        <v>3040</v>
      </c>
      <c r="N26" s="27">
        <f>M26/C26</f>
        <v>1</v>
      </c>
      <c r="O26" s="35">
        <f>J26+'6-30-22'!O26</f>
        <v>121.25</v>
      </c>
      <c r="P26" s="26">
        <f>M26/O26</f>
        <v>25.072164948453608</v>
      </c>
    </row>
    <row r="27" spans="1:16" ht="15.6" x14ac:dyDescent="0.3">
      <c r="A27" s="3"/>
      <c r="B27" s="3"/>
      <c r="C27" s="3"/>
      <c r="D27" s="3"/>
      <c r="E27" s="3"/>
      <c r="F27" s="3"/>
      <c r="G27" s="36"/>
      <c r="H27" s="3"/>
      <c r="I27" s="4"/>
      <c r="J27" s="36"/>
      <c r="K27" s="4"/>
      <c r="L27" s="3"/>
      <c r="M27" s="29"/>
      <c r="N27" s="3"/>
      <c r="O27" s="3"/>
      <c r="P27" s="3"/>
    </row>
    <row r="28" spans="1:16" ht="15.6" x14ac:dyDescent="0.3">
      <c r="A28" s="3"/>
      <c r="B28" s="8" t="s">
        <v>45</v>
      </c>
      <c r="C28" s="8">
        <v>3040</v>
      </c>
      <c r="D28" s="8"/>
      <c r="E28" s="8"/>
      <c r="F28" s="8"/>
      <c r="G28" s="35"/>
      <c r="H28" s="8"/>
      <c r="I28" s="35"/>
      <c r="J28" s="35">
        <f>F28*G28+H28*I28</f>
        <v>0</v>
      </c>
      <c r="K28" s="16" t="e">
        <f>E28/(J28)</f>
        <v>#DIV/0!</v>
      </c>
      <c r="L28" s="3"/>
      <c r="M28" s="26">
        <f>E28+'6-30-22'!M28</f>
        <v>2362</v>
      </c>
      <c r="N28" s="27">
        <f>M28/C28</f>
        <v>0.77697368421052626</v>
      </c>
      <c r="O28" s="35">
        <f>J28+'6-30-22'!O28</f>
        <v>621.25</v>
      </c>
      <c r="P28" s="26">
        <f>M28/O28</f>
        <v>3.8020120724346076</v>
      </c>
    </row>
    <row r="29" spans="1:16" ht="15.6" x14ac:dyDescent="0.3">
      <c r="A29" s="3"/>
      <c r="B29" s="3"/>
      <c r="C29" s="3"/>
      <c r="D29" s="3"/>
      <c r="E29" s="3"/>
      <c r="F29" s="3"/>
      <c r="G29" s="36"/>
      <c r="H29" s="3"/>
      <c r="I29" s="4"/>
      <c r="J29" s="36"/>
      <c r="K29" s="4"/>
      <c r="L29" s="3"/>
      <c r="M29" s="29"/>
      <c r="N29" s="3"/>
      <c r="O29" s="3"/>
      <c r="P29" s="3"/>
    </row>
    <row r="30" spans="1:16" ht="15.6" x14ac:dyDescent="0.3">
      <c r="A30" s="3"/>
      <c r="B30" s="8" t="s">
        <v>47</v>
      </c>
      <c r="C30" s="8">
        <v>123400</v>
      </c>
      <c r="D30" s="8"/>
      <c r="E30" s="8"/>
      <c r="F30" s="8"/>
      <c r="G30" s="35"/>
      <c r="H30" s="8"/>
      <c r="I30" s="35"/>
      <c r="J30" s="35">
        <f>F30*G30+H30*I30</f>
        <v>0</v>
      </c>
      <c r="K30" s="16" t="e">
        <f>E30/(J30)</f>
        <v>#DIV/0!</v>
      </c>
      <c r="L30" s="3"/>
      <c r="M30" s="26">
        <f>E30+'6-30-22'!M30</f>
        <v>123400</v>
      </c>
      <c r="N30" s="27">
        <f>M30/C30</f>
        <v>1</v>
      </c>
      <c r="O30" s="35">
        <f>J30+'6-30-22'!O30</f>
        <v>645.5</v>
      </c>
      <c r="P30" s="26">
        <f>M30/O30</f>
        <v>191.16963594113091</v>
      </c>
    </row>
    <row r="31" spans="1:16" ht="15.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7"/>
      <c r="O31" s="3"/>
      <c r="P31" s="3"/>
    </row>
    <row r="32" spans="1:16" ht="15.6" x14ac:dyDescent="0.3">
      <c r="A32" s="3"/>
      <c r="B32" s="8" t="s">
        <v>46</v>
      </c>
      <c r="C32" s="8">
        <v>303</v>
      </c>
      <c r="D32" s="8"/>
      <c r="E32" s="8"/>
      <c r="F32" s="8"/>
      <c r="G32" s="35"/>
      <c r="H32" s="8"/>
      <c r="I32" s="16"/>
      <c r="J32" s="35">
        <f>F32*G32+H32*I32</f>
        <v>0</v>
      </c>
      <c r="K32" s="16" t="e">
        <f>E32/(J32)</f>
        <v>#DIV/0!</v>
      </c>
      <c r="L32" s="3"/>
      <c r="M32" s="26">
        <f>E32+'6-30-22'!M32</f>
        <v>303</v>
      </c>
      <c r="N32" s="27">
        <f>M32/C32</f>
        <v>1</v>
      </c>
      <c r="O32" s="35">
        <f>J32+'6-30-22'!O32</f>
        <v>166.5</v>
      </c>
      <c r="P32" s="26">
        <f>M32/O32</f>
        <v>1.8198198198198199</v>
      </c>
    </row>
    <row r="33" spans="1:16" ht="15.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7"/>
      <c r="O33" s="3"/>
      <c r="P33" s="3"/>
    </row>
    <row r="34" spans="1:16" ht="15.6" x14ac:dyDescent="0.3">
      <c r="A34" s="3"/>
      <c r="B34" s="8" t="s">
        <v>48</v>
      </c>
      <c r="C34" s="8">
        <v>115000</v>
      </c>
      <c r="D34" s="8"/>
      <c r="E34" s="8"/>
      <c r="F34" s="8"/>
      <c r="G34" s="35"/>
      <c r="H34" s="8"/>
      <c r="I34" s="16"/>
      <c r="J34" s="35">
        <f>F34*G34+H34*I34</f>
        <v>0</v>
      </c>
      <c r="K34" s="16" t="e">
        <f>E34/(J34)</f>
        <v>#DIV/0!</v>
      </c>
      <c r="L34" s="3"/>
      <c r="M34" s="26">
        <f>E34+'6-30-22'!M34</f>
        <v>0</v>
      </c>
      <c r="N34" s="27">
        <f>M34/C34</f>
        <v>0</v>
      </c>
      <c r="O34" s="35">
        <f>J34+'6-30-22'!O34</f>
        <v>117</v>
      </c>
      <c r="P34" s="26">
        <f>M34/O34</f>
        <v>0</v>
      </c>
    </row>
    <row r="35" spans="1:16" ht="15.6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27"/>
      <c r="O35" s="3"/>
      <c r="P35" s="3"/>
    </row>
    <row r="36" spans="1:16" ht="15.6" x14ac:dyDescent="0.3">
      <c r="A36" s="3"/>
      <c r="B36" s="8" t="s">
        <v>49</v>
      </c>
      <c r="C36" s="8">
        <v>8</v>
      </c>
      <c r="D36" s="8"/>
      <c r="E36" s="8"/>
      <c r="F36" s="8"/>
      <c r="G36" s="35"/>
      <c r="H36" s="8"/>
      <c r="I36" s="16"/>
      <c r="J36" s="35">
        <f>F36*G36+H36*I36</f>
        <v>0</v>
      </c>
      <c r="K36" s="16" t="e">
        <f>E36/(J36)</f>
        <v>#DIV/0!</v>
      </c>
      <c r="L36" s="3"/>
      <c r="M36" s="26">
        <f>E36+'6-30-22'!M36</f>
        <v>8</v>
      </c>
      <c r="N36" s="27">
        <f>M36/C36</f>
        <v>1</v>
      </c>
      <c r="O36" s="35">
        <f>J36+'6-30-22'!O36</f>
        <v>69</v>
      </c>
      <c r="P36" s="26">
        <f>M36/O36</f>
        <v>0.11594202898550725</v>
      </c>
    </row>
    <row r="37" spans="1:16" ht="15.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27"/>
      <c r="O37" s="3"/>
      <c r="P37" s="3"/>
    </row>
    <row r="38" spans="1:16" ht="15.6" x14ac:dyDescent="0.3">
      <c r="A38" s="3"/>
      <c r="B38" s="8" t="s">
        <v>50</v>
      </c>
      <c r="C38" s="8">
        <f>2760+480</f>
        <v>3240</v>
      </c>
      <c r="D38" s="8"/>
      <c r="E38" s="8"/>
      <c r="F38" s="8"/>
      <c r="G38" s="35"/>
      <c r="H38" s="8"/>
      <c r="I38" s="16"/>
      <c r="J38" s="35">
        <f>F38*G38+H38*I38</f>
        <v>0</v>
      </c>
      <c r="K38" s="16" t="e">
        <f>E38/(J38)</f>
        <v>#DIV/0!</v>
      </c>
      <c r="L38" s="3"/>
      <c r="M38" s="26">
        <f>E38+'6-30-22'!M38</f>
        <v>1635</v>
      </c>
      <c r="N38" s="27">
        <f>M38/C38</f>
        <v>0.50462962962962965</v>
      </c>
      <c r="O38" s="35">
        <f>J38+'6-30-22'!O38</f>
        <v>72</v>
      </c>
      <c r="P38" s="26">
        <f>M38/O38</f>
        <v>22.708333333333332</v>
      </c>
    </row>
    <row r="39" spans="1:16" ht="15.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7"/>
      <c r="O39" s="3"/>
      <c r="P39" s="3"/>
    </row>
    <row r="40" spans="1:16" ht="15.6" x14ac:dyDescent="0.3">
      <c r="A40" s="3"/>
      <c r="B40" s="8" t="s">
        <v>115</v>
      </c>
      <c r="C40" s="8">
        <v>123</v>
      </c>
      <c r="D40" s="8"/>
      <c r="E40" s="8"/>
      <c r="F40" s="8"/>
      <c r="G40" s="35"/>
      <c r="H40" s="8"/>
      <c r="I40" s="16"/>
      <c r="J40" s="35">
        <f>F40*G40+H40*I40</f>
        <v>0</v>
      </c>
      <c r="K40" s="16" t="e">
        <f>E40/(J40)</f>
        <v>#DIV/0!</v>
      </c>
      <c r="L40" s="3"/>
      <c r="M40" s="26">
        <f>E40+'6-30-22'!M40</f>
        <v>0</v>
      </c>
      <c r="N40" s="27">
        <f>M40/C40</f>
        <v>0</v>
      </c>
      <c r="O40" s="35">
        <f>J40+'6-30-22'!O40</f>
        <v>0</v>
      </c>
      <c r="P40" s="35" t="e">
        <f>M40/O40</f>
        <v>#DIV/0!</v>
      </c>
    </row>
    <row r="41" spans="1:16" ht="15.6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27"/>
      <c r="O41" s="3"/>
      <c r="P41" s="3"/>
    </row>
    <row r="42" spans="1:16" ht="15.6" x14ac:dyDescent="0.3">
      <c r="A42" s="3"/>
      <c r="B42" s="8" t="s">
        <v>113</v>
      </c>
      <c r="C42" s="8" t="s">
        <v>52</v>
      </c>
      <c r="D42" s="8"/>
      <c r="E42" s="8"/>
      <c r="F42" s="8"/>
      <c r="G42" s="35"/>
      <c r="H42" s="8"/>
      <c r="I42" s="16"/>
      <c r="J42" s="35">
        <f>F42*G42+H42*I42</f>
        <v>0</v>
      </c>
      <c r="K42" s="16" t="e">
        <f>E42/(J42)</f>
        <v>#DIV/0!</v>
      </c>
      <c r="L42" s="3"/>
      <c r="M42" s="26">
        <f>E42+'6-30-22'!M42</f>
        <v>0</v>
      </c>
      <c r="N42" s="53" t="e">
        <f>M42/C42</f>
        <v>#VALUE!</v>
      </c>
      <c r="O42" s="35">
        <f>J42+'6-30-22'!O42</f>
        <v>0</v>
      </c>
      <c r="P42" s="35" t="e">
        <f>M42/O42</f>
        <v>#DIV/0!</v>
      </c>
    </row>
    <row r="43" spans="1:16" ht="15.6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27"/>
      <c r="O43" s="3"/>
      <c r="P43" s="3"/>
    </row>
    <row r="44" spans="1:16" ht="15.6" x14ac:dyDescent="0.3">
      <c r="A44" s="3"/>
      <c r="B44" s="8" t="s">
        <v>114</v>
      </c>
      <c r="C44" s="8"/>
      <c r="D44" s="8"/>
      <c r="E44" s="8"/>
      <c r="F44" s="8"/>
      <c r="G44" s="35"/>
      <c r="H44" s="8"/>
      <c r="I44" s="16"/>
      <c r="J44" s="35">
        <f>F44*G44+H44*I44</f>
        <v>0</v>
      </c>
      <c r="K44" s="16" t="e">
        <f>E44/(J44)</f>
        <v>#DIV/0!</v>
      </c>
      <c r="L44" s="3"/>
      <c r="M44" s="26" t="e">
        <f>E44+'6-30-22'!M44</f>
        <v>#VALUE!</v>
      </c>
      <c r="N44" s="53" t="e">
        <f>M44/C44</f>
        <v>#VALUE!</v>
      </c>
      <c r="O44" s="35">
        <f>J44+'6-30-22'!O44</f>
        <v>99</v>
      </c>
      <c r="P44" s="26" t="e">
        <f>M44/O44</f>
        <v>#VALUE!</v>
      </c>
    </row>
    <row r="45" spans="1:16" ht="15.6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27"/>
      <c r="O45" s="3"/>
      <c r="P45" s="3"/>
    </row>
    <row r="46" spans="1:16" ht="15.6" x14ac:dyDescent="0.3">
      <c r="A46" s="3"/>
      <c r="B46" s="8" t="s">
        <v>75</v>
      </c>
      <c r="C46" s="8"/>
      <c r="D46" s="8"/>
      <c r="E46" s="8"/>
      <c r="F46" s="8"/>
      <c r="G46" s="35"/>
      <c r="H46" s="8"/>
      <c r="I46" s="16"/>
      <c r="J46" s="35">
        <f>F46*G46+H46*I46</f>
        <v>0</v>
      </c>
      <c r="K46" s="16" t="e">
        <f>E46/(J46)</f>
        <v>#DIV/0!</v>
      </c>
      <c r="L46" s="3"/>
      <c r="M46" s="26">
        <f>E46+'6-30-22'!M46</f>
        <v>0</v>
      </c>
      <c r="N46" s="53" t="e">
        <f>M46/C46</f>
        <v>#DIV/0!</v>
      </c>
      <c r="O46" s="35">
        <f>J46+'6-30-22'!O46</f>
        <v>253.5</v>
      </c>
      <c r="P46" s="26">
        <f>M46/O46</f>
        <v>0</v>
      </c>
    </row>
    <row r="47" spans="1:16" ht="15.6" x14ac:dyDescent="0.3">
      <c r="A47" s="3"/>
      <c r="B47" s="3" t="s">
        <v>27</v>
      </c>
      <c r="C47" s="3"/>
      <c r="D47" s="3" t="s">
        <v>52</v>
      </c>
      <c r="E47" s="3"/>
      <c r="F47" s="3"/>
      <c r="G47" s="3"/>
      <c r="H47" s="30"/>
      <c r="I47" s="4"/>
      <c r="J47" s="3">
        <f>J20+J22+J24+J26+J28+J30+J32+J34+J36+J38+J40+J42+J44+J46</f>
        <v>0</v>
      </c>
      <c r="K47" s="3"/>
      <c r="L47" s="3"/>
      <c r="M47" s="3"/>
      <c r="N47" s="3"/>
      <c r="O47" s="3">
        <f>O20+O22+O24+O26+O28+O30+O32+O34+O36+O38+O40+O42+O44+O46</f>
        <v>3402.5</v>
      </c>
      <c r="P47" s="3"/>
    </row>
    <row r="48" spans="1:16" ht="15.6" x14ac:dyDescent="0.3">
      <c r="A48" s="3"/>
      <c r="B48" s="3"/>
      <c r="C48" s="3"/>
      <c r="D48" s="3"/>
      <c r="E48" s="3"/>
      <c r="F48" s="3"/>
      <c r="G48" s="3"/>
      <c r="H48" s="3"/>
      <c r="I48" s="4"/>
      <c r="J48" s="3"/>
      <c r="K48" s="3"/>
      <c r="L48" s="3"/>
      <c r="M48" s="3"/>
      <c r="N48" s="3"/>
      <c r="O48" s="3"/>
      <c r="P48" s="3"/>
    </row>
    <row r="49" spans="1:16" ht="15.6" x14ac:dyDescent="0.3">
      <c r="A49" s="3"/>
      <c r="B49" s="3" t="s">
        <v>28</v>
      </c>
      <c r="C49" s="3"/>
      <c r="D49" s="3"/>
      <c r="E49" s="3"/>
      <c r="F49" s="3"/>
      <c r="G49" s="3"/>
      <c r="H49" s="3"/>
      <c r="I49" s="4"/>
      <c r="J49" s="3"/>
      <c r="K49" s="3"/>
      <c r="L49" s="3"/>
      <c r="M49" s="3"/>
      <c r="N49" s="3"/>
      <c r="O49" s="3"/>
      <c r="P49" s="3"/>
    </row>
    <row r="50" spans="1:16" ht="15.6" x14ac:dyDescent="0.3">
      <c r="C50" s="33"/>
    </row>
    <row r="51" spans="1:16" ht="15.6" x14ac:dyDescent="0.3">
      <c r="B51" s="3" t="s">
        <v>32</v>
      </c>
      <c r="C51" s="33"/>
    </row>
    <row r="52" spans="1:16" ht="15.6" x14ac:dyDescent="0.3">
      <c r="C52" s="33"/>
    </row>
    <row r="53" spans="1:16" ht="15.6" x14ac:dyDescent="0.3">
      <c r="B53" s="3" t="s">
        <v>33</v>
      </c>
      <c r="C53" s="3"/>
    </row>
    <row r="54" spans="1:16" ht="15.6" x14ac:dyDescent="0.3">
      <c r="C54" s="33"/>
    </row>
    <row r="55" spans="1:16" ht="15.6" x14ac:dyDescent="0.3">
      <c r="C55" s="33" t="s">
        <v>52</v>
      </c>
    </row>
    <row r="57" spans="1:16" x14ac:dyDescent="0.3">
      <c r="C57" t="s">
        <v>52</v>
      </c>
      <c r="D57" t="s">
        <v>52</v>
      </c>
    </row>
    <row r="58" spans="1:16" x14ac:dyDescent="0.3">
      <c r="C58" t="s">
        <v>52</v>
      </c>
      <c r="D58" t="s">
        <v>52</v>
      </c>
    </row>
  </sheetData>
  <mergeCells count="3">
    <mergeCell ref="A1:G1"/>
    <mergeCell ref="H7:I7"/>
    <mergeCell ref="L7:M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E9C55-9F1C-4117-96CA-00BFFB330769}">
  <dimension ref="A1:R58"/>
  <sheetViews>
    <sheetView zoomScale="85" zoomScaleNormal="85" workbookViewId="0">
      <selection activeCell="E11" sqref="E11"/>
    </sheetView>
  </sheetViews>
  <sheetFormatPr defaultRowHeight="14.4" x14ac:dyDescent="0.3"/>
  <cols>
    <col min="1" max="1" width="11.33203125" customWidth="1"/>
    <col min="2" max="2" width="29.33203125" customWidth="1"/>
    <col min="3" max="3" width="22.109375" customWidth="1"/>
    <col min="4" max="4" width="12.6640625" customWidth="1"/>
    <col min="5" max="5" width="14.44140625" customWidth="1"/>
    <col min="6" max="6" width="13.33203125" customWidth="1"/>
    <col min="8" max="8" width="20.44140625" customWidth="1"/>
    <col min="12" max="12" width="13.44140625" customWidth="1"/>
    <col min="13" max="13" width="10.6640625" customWidth="1"/>
    <col min="14" max="14" width="10" bestFit="1" customWidth="1"/>
    <col min="15" max="15" width="10.6640625" customWidth="1"/>
    <col min="18" max="18" width="9.6640625" bestFit="1" customWidth="1"/>
  </cols>
  <sheetData>
    <row r="1" spans="1:18" ht="18" x14ac:dyDescent="0.35">
      <c r="A1" s="66" t="s">
        <v>0</v>
      </c>
      <c r="B1" s="66"/>
      <c r="C1" s="66"/>
      <c r="D1" s="66"/>
      <c r="E1" s="66"/>
      <c r="F1" s="66"/>
      <c r="G1" s="66"/>
      <c r="H1" s="1"/>
      <c r="I1" s="2"/>
      <c r="J1" s="1"/>
      <c r="K1" s="1"/>
      <c r="L1" s="1"/>
      <c r="M1" s="1"/>
      <c r="N1" s="1"/>
      <c r="O1" s="1"/>
      <c r="P1" s="1"/>
    </row>
    <row r="2" spans="1:18" ht="15.6" x14ac:dyDescent="0.3">
      <c r="A2" s="3"/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</row>
    <row r="3" spans="1:18" ht="15.6" x14ac:dyDescent="0.3">
      <c r="A3" s="3"/>
      <c r="B3" s="5" t="s">
        <v>1</v>
      </c>
      <c r="C3" s="6" t="s">
        <v>43</v>
      </c>
      <c r="D3" s="7"/>
      <c r="E3" s="3"/>
      <c r="F3" s="5" t="s">
        <v>2</v>
      </c>
      <c r="G3" s="8">
        <v>4355</v>
      </c>
      <c r="H3" s="34" t="s">
        <v>41</v>
      </c>
      <c r="I3" s="35">
        <v>49</v>
      </c>
      <c r="J3" s="3"/>
      <c r="K3" s="3"/>
      <c r="L3" s="3"/>
      <c r="N3" s="3" t="s">
        <v>163</v>
      </c>
      <c r="O3" s="3"/>
      <c r="P3" s="3"/>
      <c r="Q3" s="61" t="s">
        <v>196</v>
      </c>
      <c r="R3" s="62">
        <v>44702</v>
      </c>
    </row>
    <row r="4" spans="1:18" ht="15.6" x14ac:dyDescent="0.3">
      <c r="A4" s="3"/>
      <c r="B4" s="5" t="s">
        <v>3</v>
      </c>
      <c r="C4" s="37">
        <v>300155</v>
      </c>
      <c r="D4" s="7"/>
      <c r="E4" s="3"/>
      <c r="F4" s="5" t="s">
        <v>4</v>
      </c>
      <c r="G4" s="56">
        <f>N16+'6-30-22'!G4</f>
        <v>3476.75</v>
      </c>
      <c r="H4" s="34" t="s">
        <v>42</v>
      </c>
      <c r="I4" s="16">
        <v>47</v>
      </c>
      <c r="J4" s="58"/>
      <c r="K4" s="3"/>
      <c r="L4" s="3"/>
      <c r="M4" s="3"/>
      <c r="N4" s="3"/>
      <c r="O4" s="3"/>
      <c r="P4" s="3" t="s">
        <v>52</v>
      </c>
      <c r="Q4" s="61" t="s">
        <v>196</v>
      </c>
      <c r="R4" s="62">
        <v>44732</v>
      </c>
    </row>
    <row r="5" spans="1:18" ht="15.6" x14ac:dyDescent="0.3">
      <c r="A5" s="3"/>
      <c r="B5" s="5" t="s">
        <v>5</v>
      </c>
      <c r="C5" s="38"/>
      <c r="D5" s="3"/>
      <c r="E5" s="3"/>
      <c r="F5" s="3"/>
      <c r="G5" s="59">
        <f>G4/G3</f>
        <v>0.79833524684270951</v>
      </c>
      <c r="H5" s="3"/>
      <c r="I5" s="60">
        <f>I4/I3</f>
        <v>0.95918367346938771</v>
      </c>
      <c r="J5" s="3"/>
      <c r="K5" s="3"/>
      <c r="L5" s="3"/>
      <c r="M5" s="3"/>
      <c r="N5" s="3"/>
      <c r="O5" s="3"/>
      <c r="P5" s="3"/>
      <c r="Q5" s="61"/>
      <c r="R5" s="61"/>
    </row>
    <row r="6" spans="1:18" ht="15.6" x14ac:dyDescent="0.3">
      <c r="A6" s="3"/>
      <c r="B6" s="5"/>
      <c r="C6" s="3"/>
      <c r="D6" s="3"/>
      <c r="E6" s="3"/>
      <c r="F6" s="3"/>
      <c r="G6" s="3"/>
      <c r="H6" s="3"/>
      <c r="I6" s="4"/>
      <c r="J6" s="3"/>
      <c r="K6" s="30"/>
      <c r="L6" s="3"/>
      <c r="M6" s="3"/>
      <c r="N6" s="3"/>
      <c r="O6" s="3"/>
      <c r="P6" s="3"/>
      <c r="Q6" s="61"/>
      <c r="R6" s="61"/>
    </row>
    <row r="7" spans="1:18" ht="15.6" x14ac:dyDescent="0.3">
      <c r="A7" s="10" t="s">
        <v>6</v>
      </c>
      <c r="B7" s="11"/>
      <c r="C7" s="12" t="s">
        <v>7</v>
      </c>
      <c r="D7" s="3"/>
      <c r="E7" s="12" t="s">
        <v>8</v>
      </c>
      <c r="F7" s="12" t="s">
        <v>34</v>
      </c>
      <c r="G7" s="3"/>
      <c r="H7" s="67" t="s">
        <v>7</v>
      </c>
      <c r="I7" s="67"/>
      <c r="J7" s="12" t="s">
        <v>8</v>
      </c>
      <c r="K7" s="3"/>
      <c r="L7" s="67" t="s">
        <v>7</v>
      </c>
      <c r="M7" s="67"/>
      <c r="N7" s="12" t="s">
        <v>8</v>
      </c>
      <c r="O7" s="12" t="s">
        <v>34</v>
      </c>
      <c r="P7" s="3"/>
      <c r="Q7" s="61"/>
      <c r="R7" s="61"/>
    </row>
    <row r="8" spans="1:18" ht="15.6" x14ac:dyDescent="0.3">
      <c r="A8" s="13">
        <v>1</v>
      </c>
      <c r="B8" s="5" t="s">
        <v>9</v>
      </c>
      <c r="C8" s="14" t="s">
        <v>35</v>
      </c>
      <c r="D8" s="15"/>
      <c r="E8" s="35">
        <v>8.25</v>
      </c>
      <c r="F8" s="16">
        <v>66</v>
      </c>
      <c r="G8" s="11">
        <v>9</v>
      </c>
      <c r="H8" s="14" t="s">
        <v>40</v>
      </c>
      <c r="I8" s="8"/>
      <c r="J8" s="35">
        <v>8.25</v>
      </c>
      <c r="K8" s="11">
        <v>17</v>
      </c>
      <c r="L8" s="63" t="s">
        <v>239</v>
      </c>
      <c r="M8" s="8"/>
      <c r="N8" s="35"/>
      <c r="O8" s="16">
        <v>83</v>
      </c>
      <c r="P8" s="3"/>
      <c r="Q8" s="61"/>
      <c r="R8" s="61"/>
    </row>
    <row r="9" spans="1:18" ht="15.6" x14ac:dyDescent="0.3">
      <c r="A9" s="13">
        <v>2</v>
      </c>
      <c r="B9" s="5" t="s">
        <v>10</v>
      </c>
      <c r="C9" s="14" t="s">
        <v>37</v>
      </c>
      <c r="D9" s="8"/>
      <c r="E9" s="35">
        <v>8.25</v>
      </c>
      <c r="F9" s="16"/>
      <c r="G9" s="11">
        <v>10</v>
      </c>
      <c r="H9" s="64" t="s">
        <v>232</v>
      </c>
      <c r="I9" s="8"/>
      <c r="J9" s="39"/>
      <c r="K9" s="11">
        <v>18</v>
      </c>
      <c r="L9" s="63" t="s">
        <v>229</v>
      </c>
      <c r="M9" s="8"/>
      <c r="N9" s="39"/>
      <c r="O9" s="16">
        <v>84</v>
      </c>
      <c r="P9" s="3"/>
      <c r="Q9" s="61"/>
      <c r="R9" s="61"/>
    </row>
    <row r="10" spans="1:18" ht="15.6" x14ac:dyDescent="0.3">
      <c r="A10" s="13">
        <v>3</v>
      </c>
      <c r="B10" s="5" t="s">
        <v>11</v>
      </c>
      <c r="C10" s="14" t="s">
        <v>36</v>
      </c>
      <c r="D10" s="8"/>
      <c r="E10" s="35">
        <v>8.25</v>
      </c>
      <c r="F10" s="16">
        <v>78</v>
      </c>
      <c r="G10" s="11">
        <v>11</v>
      </c>
      <c r="H10" s="64" t="s">
        <v>233</v>
      </c>
      <c r="I10" s="8"/>
      <c r="J10" s="39"/>
      <c r="K10" s="11">
        <v>19</v>
      </c>
      <c r="L10" s="63" t="s">
        <v>230</v>
      </c>
      <c r="M10" s="8"/>
      <c r="N10" s="39"/>
      <c r="O10" s="16">
        <v>81</v>
      </c>
      <c r="P10" s="3"/>
      <c r="Q10" s="61"/>
      <c r="R10" s="61"/>
    </row>
    <row r="11" spans="1:18" ht="15.6" x14ac:dyDescent="0.3">
      <c r="A11" s="13">
        <v>4</v>
      </c>
      <c r="B11" s="5" t="s">
        <v>12</v>
      </c>
      <c r="C11" s="14" t="s">
        <v>29</v>
      </c>
      <c r="D11" s="8"/>
      <c r="E11" s="35">
        <v>8.25</v>
      </c>
      <c r="F11" s="16"/>
      <c r="G11" s="11">
        <v>12</v>
      </c>
      <c r="H11" s="64" t="s">
        <v>234</v>
      </c>
      <c r="I11" s="8"/>
      <c r="J11" s="39"/>
      <c r="K11" s="11">
        <v>20</v>
      </c>
      <c r="L11" s="63" t="s">
        <v>231</v>
      </c>
      <c r="M11" s="8"/>
      <c r="N11" s="39"/>
      <c r="O11" s="16">
        <v>79</v>
      </c>
      <c r="P11" s="3"/>
      <c r="Q11" s="61"/>
      <c r="R11" s="61"/>
    </row>
    <row r="12" spans="1:18" ht="15.6" x14ac:dyDescent="0.3">
      <c r="A12" s="13">
        <v>5</v>
      </c>
      <c r="B12" s="3"/>
      <c r="C12" s="31" t="s">
        <v>30</v>
      </c>
      <c r="D12" s="8"/>
      <c r="E12" s="35">
        <v>8.25</v>
      </c>
      <c r="F12" s="16"/>
      <c r="G12" s="11">
        <v>13</v>
      </c>
      <c r="H12" s="64" t="s">
        <v>235</v>
      </c>
      <c r="I12" s="8"/>
      <c r="J12" s="39"/>
      <c r="K12" s="11">
        <v>21</v>
      </c>
      <c r="L12" s="64" t="s">
        <v>240</v>
      </c>
      <c r="M12" s="8"/>
      <c r="N12" s="39"/>
      <c r="O12" s="16"/>
      <c r="P12" s="3"/>
    </row>
    <row r="13" spans="1:18" ht="15.6" x14ac:dyDescent="0.3">
      <c r="A13" s="13">
        <v>6</v>
      </c>
      <c r="B13" s="3"/>
      <c r="C13" s="14" t="s">
        <v>31</v>
      </c>
      <c r="D13" s="8"/>
      <c r="E13" s="35">
        <v>8.25</v>
      </c>
      <c r="F13" s="16">
        <v>74</v>
      </c>
      <c r="G13" s="11">
        <v>14</v>
      </c>
      <c r="H13" s="63" t="s">
        <v>236</v>
      </c>
      <c r="I13" s="8"/>
      <c r="J13" s="39"/>
      <c r="K13" s="11">
        <v>22</v>
      </c>
      <c r="L13" s="18"/>
      <c r="M13" s="8"/>
      <c r="N13" s="39"/>
      <c r="O13" s="16" t="s">
        <v>52</v>
      </c>
      <c r="P13" s="3"/>
    </row>
    <row r="14" spans="1:18" ht="15.6" x14ac:dyDescent="0.3">
      <c r="A14" s="13">
        <v>7</v>
      </c>
      <c r="B14" s="5" t="s">
        <v>52</v>
      </c>
      <c r="C14" s="14" t="s">
        <v>39</v>
      </c>
      <c r="D14" s="8"/>
      <c r="E14" s="35">
        <v>8.25</v>
      </c>
      <c r="F14" s="16"/>
      <c r="G14" s="11">
        <v>15</v>
      </c>
      <c r="H14" s="64" t="s">
        <v>237</v>
      </c>
      <c r="I14" s="8"/>
      <c r="J14" s="39"/>
      <c r="K14" s="11">
        <v>23</v>
      </c>
      <c r="L14" s="3"/>
      <c r="M14" s="8"/>
      <c r="N14" s="39"/>
      <c r="O14" s="16"/>
      <c r="P14" s="3"/>
    </row>
    <row r="15" spans="1:18" ht="15.6" x14ac:dyDescent="0.3">
      <c r="A15" s="13">
        <v>8</v>
      </c>
      <c r="B15" s="3"/>
      <c r="C15" s="14" t="s">
        <v>38</v>
      </c>
      <c r="D15" s="8"/>
      <c r="E15" s="35">
        <v>8.25</v>
      </c>
      <c r="F15" s="16"/>
      <c r="G15" s="11">
        <v>16</v>
      </c>
      <c r="H15" s="64" t="s">
        <v>238</v>
      </c>
      <c r="I15" s="8"/>
      <c r="J15" s="35"/>
      <c r="K15" s="11">
        <v>24</v>
      </c>
      <c r="L15" s="3"/>
      <c r="M15" s="8"/>
      <c r="N15" s="39"/>
      <c r="O15" s="16"/>
      <c r="P15" s="3"/>
    </row>
    <row r="16" spans="1:18" ht="15.6" x14ac:dyDescent="0.3">
      <c r="A16" s="3"/>
      <c r="B16" s="3"/>
      <c r="C16" s="3"/>
      <c r="D16" s="3"/>
      <c r="E16" s="3"/>
      <c r="F16" s="3"/>
      <c r="G16" s="13"/>
      <c r="H16" s="7"/>
      <c r="I16" s="3"/>
      <c r="J16" s="3"/>
      <c r="K16" s="13"/>
      <c r="L16" s="7" t="s">
        <v>13</v>
      </c>
      <c r="M16" s="3"/>
      <c r="N16" s="8">
        <f>E8+E9+E10+E11+E12+E13+E14+E15+J8+J9+J10+J11+J12+J13+J14+J15+N8+N9+N10+N11+N12+N13+N14+N15</f>
        <v>74.25</v>
      </c>
      <c r="O16" s="3"/>
      <c r="P16" s="3"/>
    </row>
    <row r="17" spans="1:16" ht="15.6" x14ac:dyDescent="0.3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  <c r="L17" s="3"/>
      <c r="M17" s="3"/>
      <c r="N17" s="3"/>
      <c r="O17" s="3"/>
      <c r="P17" s="3"/>
    </row>
    <row r="18" spans="1:16" ht="93.6" x14ac:dyDescent="0.3">
      <c r="A18" s="19"/>
      <c r="B18" s="20" t="s">
        <v>14</v>
      </c>
      <c r="C18" s="21" t="s">
        <v>15</v>
      </c>
      <c r="D18" s="22" t="s">
        <v>16</v>
      </c>
      <c r="E18" s="22" t="s">
        <v>17</v>
      </c>
      <c r="F18" s="22" t="s">
        <v>18</v>
      </c>
      <c r="G18" s="22" t="s">
        <v>19</v>
      </c>
      <c r="H18" s="22" t="s">
        <v>18</v>
      </c>
      <c r="I18" s="22" t="s">
        <v>19</v>
      </c>
      <c r="J18" s="22" t="s">
        <v>20</v>
      </c>
      <c r="K18" s="23" t="s">
        <v>21</v>
      </c>
      <c r="L18" s="24"/>
      <c r="M18" s="23" t="s">
        <v>22</v>
      </c>
      <c r="N18" s="23" t="s">
        <v>23</v>
      </c>
      <c r="O18" s="23" t="s">
        <v>24</v>
      </c>
      <c r="P18" s="23" t="s">
        <v>25</v>
      </c>
    </row>
    <row r="19" spans="1:16" ht="15.6" x14ac:dyDescent="0.3">
      <c r="A19" s="19"/>
      <c r="B19" s="19"/>
      <c r="C19" s="24"/>
      <c r="D19" s="24"/>
      <c r="E19" s="24"/>
      <c r="F19" s="24"/>
      <c r="G19" s="24"/>
      <c r="H19" s="24"/>
      <c r="I19" s="24"/>
      <c r="J19" s="24"/>
      <c r="K19" s="25"/>
      <c r="L19" s="24"/>
      <c r="M19" s="3"/>
      <c r="N19" s="3"/>
      <c r="O19" s="3"/>
      <c r="P19" s="3"/>
    </row>
    <row r="20" spans="1:16" ht="15.6" x14ac:dyDescent="0.3">
      <c r="A20" s="3"/>
      <c r="B20" s="8" t="s">
        <v>26</v>
      </c>
      <c r="C20" s="8">
        <v>1</v>
      </c>
      <c r="D20" s="8">
        <v>1</v>
      </c>
      <c r="E20" s="8"/>
      <c r="F20" s="8"/>
      <c r="G20" s="35">
        <v>0</v>
      </c>
      <c r="H20" s="8"/>
      <c r="I20" s="16"/>
      <c r="J20" s="35">
        <f>F20*G20+H20*I20</f>
        <v>0</v>
      </c>
      <c r="K20" s="16" t="e">
        <f>E20/(J20)</f>
        <v>#DIV/0!</v>
      </c>
      <c r="L20" s="3"/>
      <c r="M20" s="26">
        <v>0</v>
      </c>
      <c r="N20" s="27">
        <f>M20/C20</f>
        <v>0</v>
      </c>
      <c r="O20" s="35">
        <f>J20+'6-30-22'!O20</f>
        <v>108</v>
      </c>
      <c r="P20" s="26">
        <f>M20/O20</f>
        <v>0</v>
      </c>
    </row>
    <row r="21" spans="1:16" ht="15.6" x14ac:dyDescent="0.3">
      <c r="A21" s="3"/>
      <c r="B21" s="3"/>
      <c r="C21" s="3"/>
      <c r="D21" s="3"/>
      <c r="E21" s="3"/>
      <c r="F21" s="3"/>
      <c r="G21" s="40"/>
      <c r="H21" s="3"/>
      <c r="I21" s="28"/>
      <c r="J21" s="40"/>
      <c r="K21" s="28"/>
      <c r="L21" s="3"/>
      <c r="M21" s="29"/>
      <c r="N21" s="3"/>
      <c r="O21" s="3"/>
      <c r="P21" s="3"/>
    </row>
    <row r="22" spans="1:16" ht="15.6" x14ac:dyDescent="0.3">
      <c r="A22" s="3"/>
      <c r="B22" s="8" t="s">
        <v>53</v>
      </c>
      <c r="C22" s="8">
        <v>125400</v>
      </c>
      <c r="D22" s="41"/>
      <c r="E22" s="41"/>
      <c r="F22" s="8"/>
      <c r="G22" s="35"/>
      <c r="H22" s="8"/>
      <c r="I22" s="16"/>
      <c r="J22" s="35">
        <f>F22*G22+H22*I22</f>
        <v>0</v>
      </c>
      <c r="K22" s="16" t="e">
        <f>E22/(J22)</f>
        <v>#DIV/0!</v>
      </c>
      <c r="L22" s="3"/>
      <c r="M22" s="26">
        <f>E22+'6-30-22'!M22</f>
        <v>125400</v>
      </c>
      <c r="N22" s="27">
        <f>M22/C22</f>
        <v>1</v>
      </c>
      <c r="O22" s="35">
        <f>J22+'6-30-22'!O22</f>
        <v>679.75</v>
      </c>
      <c r="P22" s="26">
        <f>M22/O22</f>
        <v>184.47958808385437</v>
      </c>
    </row>
    <row r="23" spans="1:16" ht="15.6" x14ac:dyDescent="0.3">
      <c r="A23" s="3"/>
      <c r="B23" s="3"/>
      <c r="C23" s="3"/>
      <c r="D23" s="3"/>
      <c r="E23" s="3"/>
      <c r="F23" s="3"/>
      <c r="G23" s="40"/>
      <c r="H23" s="3"/>
      <c r="I23" s="28"/>
      <c r="J23" s="40"/>
      <c r="K23" s="28"/>
      <c r="L23" s="3"/>
      <c r="M23" s="29"/>
      <c r="N23" s="3"/>
      <c r="O23" s="36"/>
      <c r="P23" s="29"/>
    </row>
    <row r="24" spans="1:16" ht="15.6" x14ac:dyDescent="0.3">
      <c r="A24" s="3"/>
      <c r="B24" s="8" t="s">
        <v>54</v>
      </c>
      <c r="C24" s="8">
        <v>125400</v>
      </c>
      <c r="D24" s="8"/>
      <c r="E24" s="8"/>
      <c r="F24" s="8"/>
      <c r="G24" s="35"/>
      <c r="H24" s="8"/>
      <c r="I24" s="16"/>
      <c r="J24" s="35">
        <f>F24*G24+H24*I24</f>
        <v>0</v>
      </c>
      <c r="K24" s="16" t="e">
        <f>E24/(J24)</f>
        <v>#DIV/0!</v>
      </c>
      <c r="L24" s="3"/>
      <c r="M24" s="26">
        <f>E24+'6-30-22'!M24</f>
        <v>125400</v>
      </c>
      <c r="N24" s="27">
        <f>M24/C24</f>
        <v>1</v>
      </c>
      <c r="O24" s="35">
        <f>J24+'6-30-22'!O24</f>
        <v>449.75</v>
      </c>
      <c r="P24" s="26">
        <f>M24/O24</f>
        <v>278.82156753752082</v>
      </c>
    </row>
    <row r="25" spans="1:16" ht="15.6" x14ac:dyDescent="0.3">
      <c r="A25" s="3"/>
      <c r="B25" s="3"/>
      <c r="C25" s="3"/>
      <c r="D25" s="3"/>
      <c r="E25" s="3"/>
      <c r="F25" s="3"/>
      <c r="G25" s="36"/>
      <c r="H25" s="3"/>
      <c r="I25" s="4"/>
      <c r="J25" s="36"/>
      <c r="K25" s="4"/>
      <c r="L25" s="3"/>
      <c r="M25" s="29"/>
      <c r="N25" s="3"/>
      <c r="O25" s="3"/>
      <c r="P25" s="3"/>
    </row>
    <row r="26" spans="1:16" ht="15.6" x14ac:dyDescent="0.3">
      <c r="A26" s="3"/>
      <c r="B26" s="8" t="s">
        <v>44</v>
      </c>
      <c r="C26" s="8">
        <v>3040</v>
      </c>
      <c r="D26" s="8"/>
      <c r="E26" s="8"/>
      <c r="F26" s="8"/>
      <c r="G26" s="35"/>
      <c r="H26" s="8"/>
      <c r="I26" s="16"/>
      <c r="J26" s="35">
        <f>F26*G26+H26*I26</f>
        <v>0</v>
      </c>
      <c r="K26" s="16" t="e">
        <f>E26/(J26)</f>
        <v>#DIV/0!</v>
      </c>
      <c r="L26" s="3"/>
      <c r="M26" s="26">
        <f>E26+'6-30-22'!M26</f>
        <v>3040</v>
      </c>
      <c r="N26" s="27">
        <f>M26/C26</f>
        <v>1</v>
      </c>
      <c r="O26" s="35">
        <f>J26+'6-30-22'!O26</f>
        <v>121.25</v>
      </c>
      <c r="P26" s="26">
        <f>M26/O26</f>
        <v>25.072164948453608</v>
      </c>
    </row>
    <row r="27" spans="1:16" ht="15.6" x14ac:dyDescent="0.3">
      <c r="A27" s="3"/>
      <c r="B27" s="3"/>
      <c r="C27" s="3"/>
      <c r="D27" s="3"/>
      <c r="E27" s="3"/>
      <c r="F27" s="3"/>
      <c r="G27" s="36"/>
      <c r="H27" s="3"/>
      <c r="I27" s="4"/>
      <c r="J27" s="36"/>
      <c r="K27" s="4"/>
      <c r="L27" s="3"/>
      <c r="M27" s="29"/>
      <c r="N27" s="3"/>
      <c r="O27" s="3"/>
      <c r="P27" s="3"/>
    </row>
    <row r="28" spans="1:16" ht="15.6" x14ac:dyDescent="0.3">
      <c r="A28" s="3"/>
      <c r="B28" s="8" t="s">
        <v>45</v>
      </c>
      <c r="C28" s="8">
        <v>3040</v>
      </c>
      <c r="D28" s="8"/>
      <c r="E28" s="8"/>
      <c r="F28" s="8"/>
      <c r="G28" s="35"/>
      <c r="H28" s="8"/>
      <c r="I28" s="35"/>
      <c r="J28" s="35">
        <f>F28*G28+H28*I28</f>
        <v>0</v>
      </c>
      <c r="K28" s="16" t="e">
        <f>E28/(J28)</f>
        <v>#DIV/0!</v>
      </c>
      <c r="L28" s="3"/>
      <c r="M28" s="26">
        <f>E28+'6-30-22'!M28</f>
        <v>2362</v>
      </c>
      <c r="N28" s="27">
        <f>M28/C28</f>
        <v>0.77697368421052626</v>
      </c>
      <c r="O28" s="35">
        <f>J28+'6-30-22'!O28</f>
        <v>621.25</v>
      </c>
      <c r="P28" s="26">
        <f>M28/O28</f>
        <v>3.8020120724346076</v>
      </c>
    </row>
    <row r="29" spans="1:16" ht="15.6" x14ac:dyDescent="0.3">
      <c r="A29" s="3"/>
      <c r="B29" s="3"/>
      <c r="C29" s="3"/>
      <c r="D29" s="3"/>
      <c r="E29" s="3"/>
      <c r="F29" s="3"/>
      <c r="G29" s="36"/>
      <c r="H29" s="3"/>
      <c r="I29" s="4"/>
      <c r="J29" s="36"/>
      <c r="K29" s="4"/>
      <c r="L29" s="3"/>
      <c r="M29" s="29"/>
      <c r="N29" s="3"/>
      <c r="O29" s="3"/>
      <c r="P29" s="3"/>
    </row>
    <row r="30" spans="1:16" ht="15.6" x14ac:dyDescent="0.3">
      <c r="A30" s="3"/>
      <c r="B30" s="8" t="s">
        <v>47</v>
      </c>
      <c r="C30" s="8">
        <v>123400</v>
      </c>
      <c r="D30" s="8"/>
      <c r="E30" s="8"/>
      <c r="F30" s="8"/>
      <c r="G30" s="35"/>
      <c r="H30" s="8"/>
      <c r="I30" s="35"/>
      <c r="J30" s="35">
        <f>F30*G30+H30*I30</f>
        <v>0</v>
      </c>
      <c r="K30" s="16" t="e">
        <f>E30/(J30)</f>
        <v>#DIV/0!</v>
      </c>
      <c r="L30" s="3"/>
      <c r="M30" s="26">
        <f>E30+'6-30-22'!M30</f>
        <v>123400</v>
      </c>
      <c r="N30" s="27">
        <f>M30/C30</f>
        <v>1</v>
      </c>
      <c r="O30" s="35">
        <f>J30+'6-30-22'!O30</f>
        <v>645.5</v>
      </c>
      <c r="P30" s="26">
        <f>M30/O30</f>
        <v>191.16963594113091</v>
      </c>
    </row>
    <row r="31" spans="1:16" ht="15.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7"/>
      <c r="O31" s="3"/>
      <c r="P31" s="3"/>
    </row>
    <row r="32" spans="1:16" ht="15.6" x14ac:dyDescent="0.3">
      <c r="A32" s="3"/>
      <c r="B32" s="8" t="s">
        <v>46</v>
      </c>
      <c r="C32" s="8">
        <v>303</v>
      </c>
      <c r="D32" s="8"/>
      <c r="E32" s="8"/>
      <c r="F32" s="8"/>
      <c r="G32" s="35"/>
      <c r="H32" s="8"/>
      <c r="I32" s="16"/>
      <c r="J32" s="35">
        <f>F32*G32+H32*I32</f>
        <v>0</v>
      </c>
      <c r="K32" s="16" t="e">
        <f>E32/(J32)</f>
        <v>#DIV/0!</v>
      </c>
      <c r="L32" s="3"/>
      <c r="M32" s="26">
        <f>E32+'6-30-22'!M32</f>
        <v>303</v>
      </c>
      <c r="N32" s="27">
        <f>M32/C32</f>
        <v>1</v>
      </c>
      <c r="O32" s="35">
        <f>J32+'6-30-22'!O32</f>
        <v>166.5</v>
      </c>
      <c r="P32" s="26">
        <f>M32/O32</f>
        <v>1.8198198198198199</v>
      </c>
    </row>
    <row r="33" spans="1:16" ht="15.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7"/>
      <c r="O33" s="3"/>
      <c r="P33" s="3"/>
    </row>
    <row r="34" spans="1:16" ht="15.6" x14ac:dyDescent="0.3">
      <c r="A34" s="3"/>
      <c r="B34" s="8" t="s">
        <v>48</v>
      </c>
      <c r="C34" s="8">
        <v>115000</v>
      </c>
      <c r="D34" s="8" t="s">
        <v>265</v>
      </c>
      <c r="E34" s="41">
        <v>5040</v>
      </c>
      <c r="F34" s="8">
        <v>9</v>
      </c>
      <c r="G34" s="35">
        <v>8.25</v>
      </c>
      <c r="H34" s="8"/>
      <c r="I34" s="16"/>
      <c r="J34" s="35">
        <f>F34*G34+H34*I34</f>
        <v>74.25</v>
      </c>
      <c r="K34" s="16">
        <f>E34/(J34)</f>
        <v>67.878787878787875</v>
      </c>
      <c r="L34" s="3"/>
      <c r="M34" s="26">
        <f>E34+'6-30-22'!M34</f>
        <v>5040</v>
      </c>
      <c r="N34" s="27">
        <f>M34/C34</f>
        <v>4.3826086956521737E-2</v>
      </c>
      <c r="O34" s="35">
        <f>J34+'6-30-22'!O34</f>
        <v>191.25</v>
      </c>
      <c r="P34" s="26">
        <f>M34/O34</f>
        <v>26.352941176470587</v>
      </c>
    </row>
    <row r="35" spans="1:16" ht="15.6" x14ac:dyDescent="0.3">
      <c r="A35" s="3"/>
      <c r="B35" s="3"/>
      <c r="C35" s="3"/>
      <c r="D35" s="3" t="s">
        <v>266</v>
      </c>
      <c r="E35" s="65">
        <v>5040</v>
      </c>
      <c r="F35" s="3"/>
      <c r="G35" s="3"/>
      <c r="H35" s="3"/>
      <c r="I35" s="3"/>
      <c r="J35" s="3"/>
      <c r="K35" s="3"/>
      <c r="L35" s="3"/>
      <c r="M35" s="3"/>
      <c r="N35" s="27"/>
      <c r="O35" s="3"/>
      <c r="P35" s="3"/>
    </row>
    <row r="36" spans="1:16" ht="15.6" x14ac:dyDescent="0.3">
      <c r="A36" s="3"/>
      <c r="B36" s="8" t="s">
        <v>49</v>
      </c>
      <c r="C36" s="8">
        <v>8</v>
      </c>
      <c r="D36" s="8"/>
      <c r="E36" s="8"/>
      <c r="F36" s="8"/>
      <c r="G36" s="35"/>
      <c r="H36" s="8"/>
      <c r="I36" s="16"/>
      <c r="J36" s="35">
        <f>F36*G36+H36*I36</f>
        <v>0</v>
      </c>
      <c r="K36" s="16" t="e">
        <f>E36/(J36)</f>
        <v>#DIV/0!</v>
      </c>
      <c r="L36" s="3"/>
      <c r="M36" s="26">
        <f>E36+'6-30-22'!M36</f>
        <v>8</v>
      </c>
      <c r="N36" s="27">
        <f>M36/C36</f>
        <v>1</v>
      </c>
      <c r="O36" s="35">
        <f>J36+'6-30-22'!O36</f>
        <v>69</v>
      </c>
      <c r="P36" s="26">
        <f>M36/O36</f>
        <v>0.11594202898550725</v>
      </c>
    </row>
    <row r="37" spans="1:16" ht="15.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27"/>
      <c r="O37" s="3"/>
      <c r="P37" s="3"/>
    </row>
    <row r="38" spans="1:16" ht="15.6" x14ac:dyDescent="0.3">
      <c r="A38" s="3"/>
      <c r="B38" s="8" t="s">
        <v>50</v>
      </c>
      <c r="C38" s="8">
        <f>2760+480</f>
        <v>3240</v>
      </c>
      <c r="D38" s="8"/>
      <c r="E38" s="8"/>
      <c r="F38" s="8"/>
      <c r="G38" s="35"/>
      <c r="H38" s="8"/>
      <c r="I38" s="16"/>
      <c r="J38" s="35">
        <f>F38*G38+H38*I38</f>
        <v>0</v>
      </c>
      <c r="K38" s="16" t="e">
        <f>E38/(J38)</f>
        <v>#DIV/0!</v>
      </c>
      <c r="L38" s="3"/>
      <c r="M38" s="26">
        <f>E38+'6-30-22'!M38</f>
        <v>1635</v>
      </c>
      <c r="N38" s="27">
        <f>M38/C38</f>
        <v>0.50462962962962965</v>
      </c>
      <c r="O38" s="35">
        <f>J38+'6-30-22'!O38</f>
        <v>72</v>
      </c>
      <c r="P38" s="26">
        <f>M38/O38</f>
        <v>22.708333333333332</v>
      </c>
    </row>
    <row r="39" spans="1:16" ht="15.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7"/>
      <c r="O39" s="3"/>
      <c r="P39" s="3"/>
    </row>
    <row r="40" spans="1:16" ht="15.6" x14ac:dyDescent="0.3">
      <c r="A40" s="3"/>
      <c r="B40" s="8" t="s">
        <v>115</v>
      </c>
      <c r="C40" s="8">
        <v>123</v>
      </c>
      <c r="D40" s="8"/>
      <c r="E40" s="8"/>
      <c r="F40" s="8"/>
      <c r="G40" s="35"/>
      <c r="H40" s="8"/>
      <c r="I40" s="16"/>
      <c r="J40" s="35">
        <f>F40*G40+H40*I40</f>
        <v>0</v>
      </c>
      <c r="K40" s="16" t="e">
        <f>E40/(J40)</f>
        <v>#DIV/0!</v>
      </c>
      <c r="L40" s="3"/>
      <c r="M40" s="26">
        <f>E40+'6-30-22'!M40</f>
        <v>0</v>
      </c>
      <c r="N40" s="27">
        <f>M40/C40</f>
        <v>0</v>
      </c>
      <c r="O40" s="35">
        <f>J40+'6-30-22'!O40</f>
        <v>0</v>
      </c>
      <c r="P40" s="35" t="e">
        <f>M40/O40</f>
        <v>#DIV/0!</v>
      </c>
    </row>
    <row r="41" spans="1:16" ht="15.6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27"/>
      <c r="O41" s="3"/>
      <c r="P41" s="3"/>
    </row>
    <row r="42" spans="1:16" ht="15.6" x14ac:dyDescent="0.3">
      <c r="A42" s="3"/>
      <c r="B42" s="8" t="s">
        <v>113</v>
      </c>
      <c r="C42" s="8" t="s">
        <v>52</v>
      </c>
      <c r="D42" s="8"/>
      <c r="E42" s="8"/>
      <c r="F42" s="8"/>
      <c r="G42" s="35"/>
      <c r="H42" s="8"/>
      <c r="I42" s="16"/>
      <c r="J42" s="35">
        <f>F42*G42+H42*I42</f>
        <v>0</v>
      </c>
      <c r="K42" s="16" t="e">
        <f>E42/(J42)</f>
        <v>#DIV/0!</v>
      </c>
      <c r="L42" s="3"/>
      <c r="M42" s="26">
        <f>E42+'6-30-22'!M42</f>
        <v>0</v>
      </c>
      <c r="N42" s="53" t="e">
        <f>M42/C42</f>
        <v>#VALUE!</v>
      </c>
      <c r="O42" s="35">
        <f>J42+'6-30-22'!O42</f>
        <v>0</v>
      </c>
      <c r="P42" s="35" t="e">
        <f>M42/O42</f>
        <v>#DIV/0!</v>
      </c>
    </row>
    <row r="43" spans="1:16" ht="15.6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27"/>
      <c r="O43" s="3"/>
      <c r="P43" s="3"/>
    </row>
    <row r="44" spans="1:16" ht="15.6" x14ac:dyDescent="0.3">
      <c r="A44" s="3"/>
      <c r="B44" s="8" t="s">
        <v>114</v>
      </c>
      <c r="C44" s="8" t="s">
        <v>52</v>
      </c>
      <c r="D44" s="8"/>
      <c r="E44" s="8"/>
      <c r="F44" s="8"/>
      <c r="G44" s="35"/>
      <c r="H44" s="8"/>
      <c r="I44" s="16"/>
      <c r="J44" s="35">
        <f>F44*G44+H44*I44</f>
        <v>0</v>
      </c>
      <c r="K44" s="16" t="e">
        <f>E44/(J44)</f>
        <v>#DIV/0!</v>
      </c>
      <c r="L44" s="3"/>
      <c r="M44" s="26" t="e">
        <f>E44+'6-30-22'!M44</f>
        <v>#VALUE!</v>
      </c>
      <c r="N44" s="53" t="e">
        <f>M44/C44</f>
        <v>#VALUE!</v>
      </c>
      <c r="O44" s="35">
        <f>J44+'6-30-22'!O44</f>
        <v>99</v>
      </c>
      <c r="P44" s="26" t="e">
        <f>M44/O44</f>
        <v>#VALUE!</v>
      </c>
    </row>
    <row r="45" spans="1:16" ht="15.6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27"/>
      <c r="O45" s="3"/>
      <c r="P45" s="3"/>
    </row>
    <row r="46" spans="1:16" ht="15.6" x14ac:dyDescent="0.3">
      <c r="A46" s="3"/>
      <c r="B46" s="8" t="s">
        <v>75</v>
      </c>
      <c r="C46" s="8"/>
      <c r="D46" s="8"/>
      <c r="E46" s="8"/>
      <c r="F46" s="8"/>
      <c r="G46" s="35"/>
      <c r="H46" s="8"/>
      <c r="I46" s="16"/>
      <c r="J46" s="35">
        <f>F46*G46+H46*I46</f>
        <v>0</v>
      </c>
      <c r="K46" s="16" t="e">
        <f>E46/(J46)</f>
        <v>#DIV/0!</v>
      </c>
      <c r="L46" s="3"/>
      <c r="M46" s="26">
        <f>E46+'6-30-22'!M46</f>
        <v>0</v>
      </c>
      <c r="N46" s="53" t="e">
        <f>M46/C46</f>
        <v>#DIV/0!</v>
      </c>
      <c r="O46" s="35">
        <f>J46+'6-30-22'!O46</f>
        <v>253.5</v>
      </c>
      <c r="P46" s="26">
        <f>M46/O46</f>
        <v>0</v>
      </c>
    </row>
    <row r="47" spans="1:16" ht="15.6" x14ac:dyDescent="0.3">
      <c r="A47" s="3"/>
      <c r="B47" s="3" t="s">
        <v>27</v>
      </c>
      <c r="C47" s="3"/>
      <c r="D47" s="3" t="s">
        <v>52</v>
      </c>
      <c r="E47" s="3"/>
      <c r="F47" s="3"/>
      <c r="G47" s="3"/>
      <c r="H47" s="30"/>
      <c r="I47" s="4"/>
      <c r="J47" s="3">
        <f>J20+J22+J24+J26+J28+J30+J32+J34+J36+J38+J40+J42+J44+J46</f>
        <v>74.25</v>
      </c>
      <c r="K47" s="3"/>
      <c r="L47" s="3"/>
      <c r="M47" s="3"/>
      <c r="N47" s="3"/>
      <c r="O47" s="3">
        <f>O20+O22+O24+O26+O28+O30+O32+O34+O36+O38+O40+O42+O44+O46</f>
        <v>3476.75</v>
      </c>
      <c r="P47" s="3"/>
    </row>
    <row r="48" spans="1:16" ht="15.6" x14ac:dyDescent="0.3">
      <c r="A48" s="3"/>
      <c r="B48" s="3"/>
      <c r="C48" s="3"/>
      <c r="D48" s="3"/>
      <c r="E48" s="3"/>
      <c r="F48" s="3"/>
      <c r="G48" s="3"/>
      <c r="H48" s="3"/>
      <c r="I48" s="4"/>
      <c r="J48" s="3"/>
      <c r="K48" s="3"/>
      <c r="L48" s="3"/>
      <c r="M48" s="3"/>
      <c r="N48" s="3"/>
      <c r="O48" s="3"/>
      <c r="P48" s="3"/>
    </row>
    <row r="49" spans="1:16" ht="15.6" x14ac:dyDescent="0.3">
      <c r="A49" s="3"/>
      <c r="B49" s="3" t="s">
        <v>28</v>
      </c>
      <c r="C49" s="3" t="s">
        <v>267</v>
      </c>
      <c r="D49" s="3"/>
      <c r="E49" s="3"/>
      <c r="F49" s="3"/>
      <c r="G49" s="3"/>
      <c r="H49" s="3"/>
      <c r="I49" s="4"/>
      <c r="J49" s="3"/>
      <c r="K49" s="3"/>
      <c r="L49" s="3"/>
      <c r="M49" s="3"/>
      <c r="N49" s="3"/>
      <c r="O49" s="3"/>
      <c r="P49" s="3"/>
    </row>
    <row r="50" spans="1:16" ht="15.6" x14ac:dyDescent="0.3">
      <c r="C50" s="33"/>
    </row>
    <row r="51" spans="1:16" ht="15.6" x14ac:dyDescent="0.3">
      <c r="B51" s="3" t="s">
        <v>32</v>
      </c>
      <c r="C51" s="33" t="s">
        <v>268</v>
      </c>
    </row>
    <row r="52" spans="1:16" ht="15.6" x14ac:dyDescent="0.3">
      <c r="C52" s="33"/>
    </row>
    <row r="53" spans="1:16" ht="15.6" x14ac:dyDescent="0.3">
      <c r="B53" s="3" t="s">
        <v>33</v>
      </c>
      <c r="C53" s="3" t="s">
        <v>269</v>
      </c>
    </row>
    <row r="54" spans="1:16" ht="15.6" x14ac:dyDescent="0.3">
      <c r="C54" s="33"/>
    </row>
    <row r="55" spans="1:16" ht="15.6" x14ac:dyDescent="0.3">
      <c r="C55" s="33" t="s">
        <v>52</v>
      </c>
    </row>
    <row r="57" spans="1:16" x14ac:dyDescent="0.3">
      <c r="C57" t="s">
        <v>52</v>
      </c>
      <c r="D57" t="s">
        <v>52</v>
      </c>
    </row>
    <row r="58" spans="1:16" x14ac:dyDescent="0.3">
      <c r="C58" t="s">
        <v>52</v>
      </c>
      <c r="D58" t="s">
        <v>52</v>
      </c>
    </row>
  </sheetData>
  <mergeCells count="3">
    <mergeCell ref="A1:G1"/>
    <mergeCell ref="H7:I7"/>
    <mergeCell ref="L7:M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70B81-9518-481E-BA80-98652422724F}">
  <dimension ref="A1:R58"/>
  <sheetViews>
    <sheetView zoomScale="85" zoomScaleNormal="85" workbookViewId="0">
      <selection activeCell="D16" sqref="D16"/>
    </sheetView>
  </sheetViews>
  <sheetFormatPr defaultRowHeight="14.4" x14ac:dyDescent="0.3"/>
  <cols>
    <col min="1" max="1" width="11.33203125" customWidth="1"/>
    <col min="2" max="2" width="29.33203125" customWidth="1"/>
    <col min="3" max="3" width="22.109375" customWidth="1"/>
    <col min="4" max="4" width="12.6640625" customWidth="1"/>
    <col min="5" max="5" width="14.44140625" customWidth="1"/>
    <col min="6" max="6" width="13.33203125" customWidth="1"/>
    <col min="8" max="8" width="20.44140625" customWidth="1"/>
    <col min="12" max="12" width="13.44140625" customWidth="1"/>
    <col min="13" max="13" width="10.6640625" customWidth="1"/>
    <col min="14" max="14" width="10" bestFit="1" customWidth="1"/>
    <col min="15" max="15" width="10.6640625" customWidth="1"/>
    <col min="18" max="18" width="9.6640625" bestFit="1" customWidth="1"/>
  </cols>
  <sheetData>
    <row r="1" spans="1:18" ht="18" x14ac:dyDescent="0.35">
      <c r="A1" s="66" t="s">
        <v>0</v>
      </c>
      <c r="B1" s="66"/>
      <c r="C1" s="66"/>
      <c r="D1" s="66"/>
      <c r="E1" s="66"/>
      <c r="F1" s="66"/>
      <c r="G1" s="66"/>
      <c r="H1" s="1"/>
      <c r="I1" s="2"/>
      <c r="J1" s="1"/>
      <c r="K1" s="1"/>
      <c r="L1" s="1"/>
      <c r="M1" s="1"/>
      <c r="N1" s="1"/>
      <c r="O1" s="1"/>
      <c r="P1" s="1"/>
    </row>
    <row r="2" spans="1:18" ht="15.6" x14ac:dyDescent="0.3">
      <c r="A2" s="3"/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</row>
    <row r="3" spans="1:18" ht="15.6" x14ac:dyDescent="0.3">
      <c r="A3" s="3"/>
      <c r="B3" s="5" t="s">
        <v>1</v>
      </c>
      <c r="C3" s="6" t="s">
        <v>43</v>
      </c>
      <c r="D3" s="7"/>
      <c r="E3" s="3"/>
      <c r="F3" s="5" t="s">
        <v>2</v>
      </c>
      <c r="G3" s="8">
        <v>4355</v>
      </c>
      <c r="H3" s="34" t="s">
        <v>41</v>
      </c>
      <c r="I3" s="35">
        <v>49</v>
      </c>
      <c r="J3" s="3"/>
      <c r="K3" s="3"/>
      <c r="L3" s="3"/>
      <c r="N3" s="3" t="s">
        <v>163</v>
      </c>
      <c r="O3" s="3"/>
      <c r="P3" s="3"/>
      <c r="Q3" s="61" t="s">
        <v>196</v>
      </c>
      <c r="R3" s="62">
        <v>44702</v>
      </c>
    </row>
    <row r="4" spans="1:18" ht="15.6" x14ac:dyDescent="0.3">
      <c r="A4" s="3"/>
      <c r="B4" s="5" t="s">
        <v>3</v>
      </c>
      <c r="C4" s="37">
        <v>300155</v>
      </c>
      <c r="D4" s="7"/>
      <c r="E4" s="3"/>
      <c r="F4" s="5" t="s">
        <v>4</v>
      </c>
      <c r="G4" s="56">
        <f>N16+'6-30-22'!G4</f>
        <v>3554.5</v>
      </c>
      <c r="H4" s="34" t="s">
        <v>42</v>
      </c>
      <c r="I4" s="16">
        <v>47</v>
      </c>
      <c r="J4" s="58"/>
      <c r="K4" s="3"/>
      <c r="L4" s="3"/>
      <c r="M4" s="3"/>
      <c r="N4" s="3"/>
      <c r="O4" s="3"/>
      <c r="P4" s="3" t="s">
        <v>52</v>
      </c>
      <c r="Q4" s="61" t="s">
        <v>196</v>
      </c>
      <c r="R4" s="62">
        <v>44732</v>
      </c>
    </row>
    <row r="5" spans="1:18" ht="15.6" x14ac:dyDescent="0.3">
      <c r="A5" s="3"/>
      <c r="B5" s="5" t="s">
        <v>5</v>
      </c>
      <c r="C5" s="38"/>
      <c r="D5" s="3"/>
      <c r="E5" s="3"/>
      <c r="F5" s="3"/>
      <c r="G5" s="59">
        <f>G4/G3</f>
        <v>0.81618828932261767</v>
      </c>
      <c r="H5" s="3"/>
      <c r="I5" s="60">
        <f>I4/I3</f>
        <v>0.95918367346938771</v>
      </c>
      <c r="J5" s="3"/>
      <c r="K5" s="3"/>
      <c r="L5" s="3"/>
      <c r="M5" s="3"/>
      <c r="N5" s="3"/>
      <c r="O5" s="3"/>
      <c r="P5" s="3"/>
      <c r="Q5" s="61"/>
      <c r="R5" s="61"/>
    </row>
    <row r="6" spans="1:18" ht="15.6" x14ac:dyDescent="0.3">
      <c r="A6" s="3"/>
      <c r="B6" s="5"/>
      <c r="C6" s="3"/>
      <c r="D6" s="3"/>
      <c r="E6" s="3"/>
      <c r="F6" s="3"/>
      <c r="G6" s="3"/>
      <c r="H6" s="3"/>
      <c r="I6" s="4"/>
      <c r="J6" s="3"/>
      <c r="K6" s="30"/>
      <c r="L6" s="3"/>
      <c r="M6" s="3"/>
      <c r="N6" s="3"/>
      <c r="O6" s="3"/>
      <c r="P6" s="3"/>
      <c r="Q6" s="61"/>
      <c r="R6" s="61"/>
    </row>
    <row r="7" spans="1:18" ht="15.6" x14ac:dyDescent="0.3">
      <c r="A7" s="10" t="s">
        <v>6</v>
      </c>
      <c r="B7" s="11"/>
      <c r="C7" s="12" t="s">
        <v>7</v>
      </c>
      <c r="D7" s="3"/>
      <c r="E7" s="12" t="s">
        <v>8</v>
      </c>
      <c r="F7" s="12" t="s">
        <v>34</v>
      </c>
      <c r="G7" s="3"/>
      <c r="H7" s="67" t="s">
        <v>7</v>
      </c>
      <c r="I7" s="67"/>
      <c r="J7" s="12" t="s">
        <v>8</v>
      </c>
      <c r="K7" s="3"/>
      <c r="L7" s="67" t="s">
        <v>7</v>
      </c>
      <c r="M7" s="67"/>
      <c r="N7" s="12" t="s">
        <v>8</v>
      </c>
      <c r="O7" s="12" t="s">
        <v>34</v>
      </c>
      <c r="P7" s="3"/>
      <c r="Q7" s="61"/>
      <c r="R7" s="61"/>
    </row>
    <row r="8" spans="1:18" ht="15.6" x14ac:dyDescent="0.3">
      <c r="A8" s="13">
        <v>1</v>
      </c>
      <c r="B8" s="5" t="s">
        <v>9</v>
      </c>
      <c r="C8" s="14" t="s">
        <v>35</v>
      </c>
      <c r="D8" s="15"/>
      <c r="E8" s="35">
        <v>8</v>
      </c>
      <c r="F8" s="16">
        <v>66</v>
      </c>
      <c r="G8" s="11">
        <v>9</v>
      </c>
      <c r="H8" s="14" t="s">
        <v>40</v>
      </c>
      <c r="I8" s="8"/>
      <c r="J8" s="35">
        <v>8</v>
      </c>
      <c r="K8" s="11">
        <v>17</v>
      </c>
      <c r="L8" s="63" t="s">
        <v>239</v>
      </c>
      <c r="M8" s="8"/>
      <c r="N8" s="35">
        <v>8</v>
      </c>
      <c r="O8" s="16">
        <v>83</v>
      </c>
      <c r="P8" s="3"/>
      <c r="Q8" s="61"/>
      <c r="R8" s="61"/>
    </row>
    <row r="9" spans="1:18" ht="15.6" x14ac:dyDescent="0.3">
      <c r="A9" s="13">
        <v>2</v>
      </c>
      <c r="B9" s="5" t="s">
        <v>10</v>
      </c>
      <c r="C9" s="14" t="s">
        <v>37</v>
      </c>
      <c r="D9" s="8"/>
      <c r="E9" s="35">
        <v>8</v>
      </c>
      <c r="F9" s="16"/>
      <c r="G9" s="11">
        <v>10</v>
      </c>
      <c r="H9" s="64" t="s">
        <v>232</v>
      </c>
      <c r="I9" s="8"/>
      <c r="J9" s="39">
        <v>8</v>
      </c>
      <c r="K9" s="11">
        <v>18</v>
      </c>
      <c r="L9" s="63" t="s">
        <v>229</v>
      </c>
      <c r="M9" s="8"/>
      <c r="N9" s="39">
        <v>8</v>
      </c>
      <c r="O9" s="16">
        <v>84</v>
      </c>
      <c r="P9" s="3"/>
      <c r="Q9" s="61"/>
      <c r="R9" s="61"/>
    </row>
    <row r="10" spans="1:18" ht="15.6" x14ac:dyDescent="0.3">
      <c r="A10" s="13">
        <v>3</v>
      </c>
      <c r="B10" s="5" t="s">
        <v>11</v>
      </c>
      <c r="C10" s="14" t="s">
        <v>36</v>
      </c>
      <c r="D10" s="8"/>
      <c r="E10" s="35">
        <v>8</v>
      </c>
      <c r="F10" s="16">
        <v>78</v>
      </c>
      <c r="G10" s="11">
        <v>11</v>
      </c>
      <c r="H10" s="64" t="s">
        <v>233</v>
      </c>
      <c r="I10" s="8"/>
      <c r="J10" s="39">
        <v>8</v>
      </c>
      <c r="K10" s="11">
        <v>19</v>
      </c>
      <c r="L10" s="63" t="s">
        <v>230</v>
      </c>
      <c r="M10" s="8"/>
      <c r="N10" s="39">
        <v>8</v>
      </c>
      <c r="O10" s="16">
        <v>81</v>
      </c>
      <c r="P10" s="3"/>
      <c r="Q10" s="61"/>
      <c r="R10" s="61"/>
    </row>
    <row r="11" spans="1:18" ht="15.6" x14ac:dyDescent="0.3">
      <c r="A11" s="13">
        <v>4</v>
      </c>
      <c r="B11" s="5" t="s">
        <v>12</v>
      </c>
      <c r="C11" s="14" t="s">
        <v>29</v>
      </c>
      <c r="D11" s="8"/>
      <c r="E11" s="35">
        <v>8</v>
      </c>
      <c r="F11" s="16"/>
      <c r="G11" s="11">
        <v>12</v>
      </c>
      <c r="H11" s="64" t="s">
        <v>234</v>
      </c>
      <c r="I11" s="8"/>
      <c r="J11" s="39">
        <v>8</v>
      </c>
      <c r="K11" s="11">
        <v>20</v>
      </c>
      <c r="L11" s="63" t="s">
        <v>231</v>
      </c>
      <c r="M11" s="8"/>
      <c r="N11" s="39">
        <v>8</v>
      </c>
      <c r="O11" s="16">
        <v>79</v>
      </c>
      <c r="P11" s="3"/>
      <c r="Q11" s="61"/>
      <c r="R11" s="61"/>
    </row>
    <row r="12" spans="1:18" ht="15.6" x14ac:dyDescent="0.3">
      <c r="A12" s="13">
        <v>5</v>
      </c>
      <c r="B12" s="3"/>
      <c r="C12" s="31" t="s">
        <v>30</v>
      </c>
      <c r="D12" s="8"/>
      <c r="E12" s="35">
        <v>8</v>
      </c>
      <c r="F12" s="16"/>
      <c r="G12" s="11">
        <v>13</v>
      </c>
      <c r="H12" s="64" t="s">
        <v>235</v>
      </c>
      <c r="I12" s="8"/>
      <c r="J12" s="39">
        <v>0</v>
      </c>
      <c r="K12" s="11">
        <v>21</v>
      </c>
      <c r="L12" s="64" t="s">
        <v>240</v>
      </c>
      <c r="M12" s="8"/>
      <c r="N12" s="39">
        <v>8</v>
      </c>
      <c r="O12" s="16"/>
      <c r="P12" s="3"/>
    </row>
    <row r="13" spans="1:18" ht="15.6" x14ac:dyDescent="0.3">
      <c r="A13" s="13">
        <v>6</v>
      </c>
      <c r="B13" s="3"/>
      <c r="C13" s="14" t="s">
        <v>31</v>
      </c>
      <c r="D13" s="8"/>
      <c r="E13" s="35">
        <v>8</v>
      </c>
      <c r="F13" s="16">
        <v>74</v>
      </c>
      <c r="G13" s="11">
        <v>14</v>
      </c>
      <c r="H13" s="63" t="s">
        <v>236</v>
      </c>
      <c r="I13" s="8"/>
      <c r="J13" s="39">
        <v>0</v>
      </c>
      <c r="K13" s="11">
        <v>22</v>
      </c>
      <c r="L13" s="18"/>
      <c r="M13" s="8"/>
      <c r="N13" s="39"/>
      <c r="O13" s="16" t="s">
        <v>52</v>
      </c>
      <c r="P13" s="3"/>
    </row>
    <row r="14" spans="1:18" ht="15.6" x14ac:dyDescent="0.3">
      <c r="A14" s="13">
        <v>7</v>
      </c>
      <c r="B14" s="5" t="s">
        <v>52</v>
      </c>
      <c r="C14" s="14" t="s">
        <v>39</v>
      </c>
      <c r="D14" s="8"/>
      <c r="E14" s="35">
        <v>8</v>
      </c>
      <c r="F14" s="16"/>
      <c r="G14" s="11">
        <v>15</v>
      </c>
      <c r="H14" s="64" t="s">
        <v>237</v>
      </c>
      <c r="I14" s="8"/>
      <c r="J14" s="39">
        <v>8</v>
      </c>
      <c r="K14" s="11">
        <v>23</v>
      </c>
      <c r="L14" s="3"/>
      <c r="M14" s="8"/>
      <c r="N14" s="39"/>
      <c r="O14" s="16"/>
      <c r="P14" s="3"/>
    </row>
    <row r="15" spans="1:18" ht="15.6" x14ac:dyDescent="0.3">
      <c r="A15" s="13">
        <v>8</v>
      </c>
      <c r="B15" s="3"/>
      <c r="C15" s="14" t="s">
        <v>38</v>
      </c>
      <c r="D15" s="8"/>
      <c r="E15" s="35">
        <v>8</v>
      </c>
      <c r="F15" s="16"/>
      <c r="G15" s="11">
        <v>16</v>
      </c>
      <c r="H15" s="64" t="s">
        <v>238</v>
      </c>
      <c r="I15" s="8"/>
      <c r="J15" s="35">
        <v>8</v>
      </c>
      <c r="K15" s="11">
        <v>24</v>
      </c>
      <c r="L15" s="3"/>
      <c r="M15" s="8"/>
      <c r="N15" s="39"/>
      <c r="O15" s="16"/>
      <c r="P15" s="3"/>
    </row>
    <row r="16" spans="1:18" ht="15.6" x14ac:dyDescent="0.3">
      <c r="A16" s="3"/>
      <c r="B16" s="3"/>
      <c r="C16" s="3"/>
      <c r="D16" s="3"/>
      <c r="E16" s="3"/>
      <c r="F16" s="3"/>
      <c r="G16" s="13"/>
      <c r="H16" s="7"/>
      <c r="I16" s="3"/>
      <c r="J16" s="3"/>
      <c r="K16" s="13"/>
      <c r="L16" s="7" t="s">
        <v>13</v>
      </c>
      <c r="M16" s="3"/>
      <c r="N16" s="8">
        <f>E8+E9+E10+E11+E12+E13+E14+E15+J8+J9+J10+J11+J12+J13+J14+J15+N8+N9+N10+N11+N12+N13+N14+N15</f>
        <v>152</v>
      </c>
      <c r="O16" s="3"/>
      <c r="P16" s="3"/>
    </row>
    <row r="17" spans="1:16" ht="15.6" x14ac:dyDescent="0.3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  <c r="L17" s="3"/>
      <c r="M17" s="3"/>
      <c r="N17" s="3"/>
      <c r="O17" s="3"/>
      <c r="P17" s="3"/>
    </row>
    <row r="18" spans="1:16" ht="93.6" x14ac:dyDescent="0.3">
      <c r="A18" s="19"/>
      <c r="B18" s="20" t="s">
        <v>14</v>
      </c>
      <c r="C18" s="21" t="s">
        <v>15</v>
      </c>
      <c r="D18" s="22" t="s">
        <v>16</v>
      </c>
      <c r="E18" s="22" t="s">
        <v>17</v>
      </c>
      <c r="F18" s="22" t="s">
        <v>18</v>
      </c>
      <c r="G18" s="22" t="s">
        <v>19</v>
      </c>
      <c r="H18" s="22" t="s">
        <v>18</v>
      </c>
      <c r="I18" s="22" t="s">
        <v>19</v>
      </c>
      <c r="J18" s="22" t="s">
        <v>20</v>
      </c>
      <c r="K18" s="23" t="s">
        <v>21</v>
      </c>
      <c r="L18" s="24"/>
      <c r="M18" s="23" t="s">
        <v>22</v>
      </c>
      <c r="N18" s="23" t="s">
        <v>23</v>
      </c>
      <c r="O18" s="23" t="s">
        <v>24</v>
      </c>
      <c r="P18" s="23" t="s">
        <v>25</v>
      </c>
    </row>
    <row r="19" spans="1:16" ht="15.6" x14ac:dyDescent="0.3">
      <c r="A19" s="19"/>
      <c r="B19" s="19"/>
      <c r="C19" s="24"/>
      <c r="D19" s="24"/>
      <c r="E19" s="24"/>
      <c r="F19" s="24"/>
      <c r="G19" s="24"/>
      <c r="H19" s="24"/>
      <c r="I19" s="24"/>
      <c r="J19" s="24"/>
      <c r="K19" s="25"/>
      <c r="L19" s="24"/>
      <c r="M19" s="3"/>
      <c r="N19" s="3"/>
      <c r="O19" s="3"/>
      <c r="P19" s="3"/>
    </row>
    <row r="20" spans="1:16" ht="15.6" x14ac:dyDescent="0.3">
      <c r="A20" s="3"/>
      <c r="B20" s="8" t="s">
        <v>26</v>
      </c>
      <c r="C20" s="8">
        <v>1</v>
      </c>
      <c r="D20" s="8">
        <v>1</v>
      </c>
      <c r="E20" s="8"/>
      <c r="F20" s="8"/>
      <c r="G20" s="35">
        <v>0</v>
      </c>
      <c r="H20" s="8"/>
      <c r="I20" s="16"/>
      <c r="J20" s="35">
        <f>F20*G20+H20*I20</f>
        <v>0</v>
      </c>
      <c r="K20" s="16" t="e">
        <f>E20/(J20)</f>
        <v>#DIV/0!</v>
      </c>
      <c r="L20" s="3"/>
      <c r="M20" s="26">
        <v>0</v>
      </c>
      <c r="N20" s="27">
        <f>M20/C20</f>
        <v>0</v>
      </c>
      <c r="O20" s="35">
        <f>J20+'6-30-22'!O20</f>
        <v>108</v>
      </c>
      <c r="P20" s="26">
        <f>M20/O20</f>
        <v>0</v>
      </c>
    </row>
    <row r="21" spans="1:16" ht="15.6" x14ac:dyDescent="0.3">
      <c r="A21" s="3"/>
      <c r="B21" s="3"/>
      <c r="C21" s="3"/>
      <c r="D21" s="3"/>
      <c r="E21" s="3"/>
      <c r="F21" s="3"/>
      <c r="G21" s="40"/>
      <c r="H21" s="3"/>
      <c r="I21" s="28"/>
      <c r="J21" s="40"/>
      <c r="K21" s="28"/>
      <c r="L21" s="3"/>
      <c r="M21" s="29"/>
      <c r="N21" s="3"/>
      <c r="O21" s="3"/>
      <c r="P21" s="3"/>
    </row>
    <row r="22" spans="1:16" ht="15.6" x14ac:dyDescent="0.3">
      <c r="A22" s="3"/>
      <c r="B22" s="8" t="s">
        <v>53</v>
      </c>
      <c r="C22" s="8">
        <v>125400</v>
      </c>
      <c r="D22" s="41"/>
      <c r="E22" s="41"/>
      <c r="F22" s="8"/>
      <c r="G22" s="35"/>
      <c r="H22" s="8"/>
      <c r="I22" s="16"/>
      <c r="J22" s="35">
        <f>F22*G22+H22*I22</f>
        <v>0</v>
      </c>
      <c r="K22" s="16" t="e">
        <f>E22/(J22)</f>
        <v>#DIV/0!</v>
      </c>
      <c r="L22" s="3"/>
      <c r="M22" s="26">
        <f>E22+'6-30-22'!M22</f>
        <v>125400</v>
      </c>
      <c r="N22" s="27">
        <f>M22/C22</f>
        <v>1</v>
      </c>
      <c r="O22" s="35">
        <f>J22+'6-30-22'!O22</f>
        <v>679.75</v>
      </c>
      <c r="P22" s="26">
        <f>M22/O22</f>
        <v>184.47958808385437</v>
      </c>
    </row>
    <row r="23" spans="1:16" ht="15.6" x14ac:dyDescent="0.3">
      <c r="A23" s="3"/>
      <c r="B23" s="3"/>
      <c r="C23" s="3"/>
      <c r="D23" s="3"/>
      <c r="E23" s="3"/>
      <c r="F23" s="3"/>
      <c r="G23" s="40"/>
      <c r="H23" s="3"/>
      <c r="I23" s="28"/>
      <c r="J23" s="40"/>
      <c r="K23" s="28"/>
      <c r="L23" s="3"/>
      <c r="M23" s="29"/>
      <c r="N23" s="3"/>
      <c r="O23" s="36"/>
      <c r="P23" s="29"/>
    </row>
    <row r="24" spans="1:16" ht="15.6" x14ac:dyDescent="0.3">
      <c r="A24" s="3"/>
      <c r="B24" s="8" t="s">
        <v>54</v>
      </c>
      <c r="C24" s="8">
        <v>125400</v>
      </c>
      <c r="D24" s="8"/>
      <c r="E24" s="8"/>
      <c r="F24" s="8"/>
      <c r="G24" s="35"/>
      <c r="H24" s="8"/>
      <c r="I24" s="16"/>
      <c r="J24" s="35">
        <f>F24*G24+H24*I24</f>
        <v>0</v>
      </c>
      <c r="K24" s="16" t="e">
        <f>E24/(J24)</f>
        <v>#DIV/0!</v>
      </c>
      <c r="L24" s="3"/>
      <c r="M24" s="26">
        <f>E24+'6-30-22'!M24</f>
        <v>125400</v>
      </c>
      <c r="N24" s="27">
        <f>M24/C24</f>
        <v>1</v>
      </c>
      <c r="O24" s="35">
        <f>J24+'6-30-22'!O24</f>
        <v>449.75</v>
      </c>
      <c r="P24" s="26">
        <f>M24/O24</f>
        <v>278.82156753752082</v>
      </c>
    </row>
    <row r="25" spans="1:16" ht="15.6" x14ac:dyDescent="0.3">
      <c r="A25" s="3"/>
      <c r="B25" s="3"/>
      <c r="C25" s="3"/>
      <c r="D25" s="3"/>
      <c r="E25" s="3"/>
      <c r="F25" s="3"/>
      <c r="G25" s="36"/>
      <c r="H25" s="3"/>
      <c r="I25" s="4"/>
      <c r="J25" s="36"/>
      <c r="K25" s="4"/>
      <c r="L25" s="3"/>
      <c r="M25" s="29"/>
      <c r="N25" s="3"/>
      <c r="O25" s="3"/>
      <c r="P25" s="3"/>
    </row>
    <row r="26" spans="1:16" ht="15.6" x14ac:dyDescent="0.3">
      <c r="A26" s="3"/>
      <c r="B26" s="8" t="s">
        <v>44</v>
      </c>
      <c r="C26" s="8">
        <v>3040</v>
      </c>
      <c r="D26" s="8"/>
      <c r="E26" s="8"/>
      <c r="F26" s="8"/>
      <c r="G26" s="35"/>
      <c r="H26" s="8"/>
      <c r="I26" s="16"/>
      <c r="J26" s="35">
        <f>F26*G26+H26*I26</f>
        <v>0</v>
      </c>
      <c r="K26" s="16" t="e">
        <f>E26/(J26)</f>
        <v>#DIV/0!</v>
      </c>
      <c r="L26" s="3"/>
      <c r="M26" s="26">
        <f>E26+'6-30-22'!M26</f>
        <v>3040</v>
      </c>
      <c r="N26" s="27">
        <f>M26/C26</f>
        <v>1</v>
      </c>
      <c r="O26" s="35">
        <f>J26+'6-30-22'!O26</f>
        <v>121.25</v>
      </c>
      <c r="P26" s="26">
        <f>M26/O26</f>
        <v>25.072164948453608</v>
      </c>
    </row>
    <row r="27" spans="1:16" ht="15.6" x14ac:dyDescent="0.3">
      <c r="A27" s="3"/>
      <c r="B27" s="3"/>
      <c r="C27" s="3"/>
      <c r="D27" s="3"/>
      <c r="E27" s="3"/>
      <c r="F27" s="3"/>
      <c r="G27" s="36"/>
      <c r="H27" s="3"/>
      <c r="I27" s="4"/>
      <c r="J27" s="36"/>
      <c r="K27" s="4"/>
      <c r="L27" s="3"/>
      <c r="M27" s="29"/>
      <c r="N27" s="3"/>
      <c r="O27" s="3"/>
      <c r="P27" s="3"/>
    </row>
    <row r="28" spans="1:16" ht="15.6" x14ac:dyDescent="0.3">
      <c r="A28" s="3"/>
      <c r="B28" s="8" t="s">
        <v>45</v>
      </c>
      <c r="C28" s="8">
        <v>3040</v>
      </c>
      <c r="D28" s="8"/>
      <c r="E28" s="8"/>
      <c r="F28" s="8"/>
      <c r="G28" s="35"/>
      <c r="H28" s="8"/>
      <c r="I28" s="35"/>
      <c r="J28" s="35">
        <f>F28*G28+H28*I28</f>
        <v>0</v>
      </c>
      <c r="K28" s="16" t="e">
        <f>E28/(J28)</f>
        <v>#DIV/0!</v>
      </c>
      <c r="L28" s="3"/>
      <c r="M28" s="26">
        <f>E28+'6-30-22'!M28</f>
        <v>2362</v>
      </c>
      <c r="N28" s="27">
        <f>M28/C28</f>
        <v>0.77697368421052626</v>
      </c>
      <c r="O28" s="35">
        <f>J28+'6-30-22'!O28</f>
        <v>621.25</v>
      </c>
      <c r="P28" s="26">
        <f>M28/O28</f>
        <v>3.8020120724346076</v>
      </c>
    </row>
    <row r="29" spans="1:16" ht="15.6" x14ac:dyDescent="0.3">
      <c r="A29" s="3"/>
      <c r="B29" s="3"/>
      <c r="C29" s="3"/>
      <c r="D29" s="3"/>
      <c r="E29" s="3"/>
      <c r="F29" s="3"/>
      <c r="G29" s="36"/>
      <c r="H29" s="3"/>
      <c r="I29" s="4"/>
      <c r="J29" s="36"/>
      <c r="K29" s="4"/>
      <c r="L29" s="3"/>
      <c r="M29" s="29"/>
      <c r="N29" s="3"/>
      <c r="O29" s="3"/>
      <c r="P29" s="3"/>
    </row>
    <row r="30" spans="1:16" ht="15.6" x14ac:dyDescent="0.3">
      <c r="A30" s="3"/>
      <c r="B30" s="8" t="s">
        <v>47</v>
      </c>
      <c r="C30" s="8">
        <v>123400</v>
      </c>
      <c r="D30" s="8"/>
      <c r="E30" s="8"/>
      <c r="F30" s="8"/>
      <c r="G30" s="35"/>
      <c r="H30" s="8"/>
      <c r="I30" s="35"/>
      <c r="J30" s="35">
        <f>F30*G30+H30*I30</f>
        <v>0</v>
      </c>
      <c r="K30" s="16" t="e">
        <f>E30/(J30)</f>
        <v>#DIV/0!</v>
      </c>
      <c r="L30" s="3"/>
      <c r="M30" s="26">
        <f>E30+'6-30-22'!M30</f>
        <v>123400</v>
      </c>
      <c r="N30" s="27">
        <f>M30/C30</f>
        <v>1</v>
      </c>
      <c r="O30" s="35">
        <f>J30+'6-30-22'!O30</f>
        <v>645.5</v>
      </c>
      <c r="P30" s="26">
        <f>M30/O30</f>
        <v>191.16963594113091</v>
      </c>
    </row>
    <row r="31" spans="1:16" ht="15.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7"/>
      <c r="O31" s="3"/>
      <c r="P31" s="3"/>
    </row>
    <row r="32" spans="1:16" ht="15.6" x14ac:dyDescent="0.3">
      <c r="A32" s="3"/>
      <c r="B32" s="8" t="s">
        <v>46</v>
      </c>
      <c r="C32" s="8">
        <v>303</v>
      </c>
      <c r="D32" s="8"/>
      <c r="E32" s="8"/>
      <c r="F32" s="8"/>
      <c r="G32" s="35"/>
      <c r="H32" s="8"/>
      <c r="I32" s="16"/>
      <c r="J32" s="35">
        <f>F32*G32+H32*I32</f>
        <v>0</v>
      </c>
      <c r="K32" s="16" t="e">
        <f>E32/(J32)</f>
        <v>#DIV/0!</v>
      </c>
      <c r="L32" s="3"/>
      <c r="M32" s="26">
        <f>E32+'6-30-22'!M32</f>
        <v>303</v>
      </c>
      <c r="N32" s="27">
        <f>M32/C32</f>
        <v>1</v>
      </c>
      <c r="O32" s="35">
        <f>J32+'6-30-22'!O32</f>
        <v>166.5</v>
      </c>
      <c r="P32" s="26">
        <f>M32/O32</f>
        <v>1.8198198198198199</v>
      </c>
    </row>
    <row r="33" spans="1:16" ht="15.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7"/>
      <c r="O33" s="3"/>
      <c r="P33" s="3"/>
    </row>
    <row r="34" spans="1:16" ht="15.6" x14ac:dyDescent="0.3">
      <c r="A34" s="3"/>
      <c r="B34" s="8" t="s">
        <v>48</v>
      </c>
      <c r="C34" s="8">
        <v>115000</v>
      </c>
      <c r="D34" s="8" t="s">
        <v>259</v>
      </c>
      <c r="E34" s="41">
        <v>10080</v>
      </c>
      <c r="F34" s="8">
        <v>19</v>
      </c>
      <c r="G34" s="35">
        <v>8</v>
      </c>
      <c r="H34" s="8"/>
      <c r="I34" s="16"/>
      <c r="J34" s="35">
        <f>F34*G34+H34*I34</f>
        <v>152</v>
      </c>
      <c r="K34" s="16">
        <f>E34/(J34)</f>
        <v>66.315789473684205</v>
      </c>
      <c r="L34" s="3"/>
      <c r="M34" s="26">
        <f>E34+'6-30-22'!M34</f>
        <v>10080</v>
      </c>
      <c r="N34" s="27">
        <f>M34/C34</f>
        <v>8.7652173913043474E-2</v>
      </c>
      <c r="O34" s="35">
        <f>J34+'6-30-22'!O34</f>
        <v>269</v>
      </c>
      <c r="P34" s="26">
        <f>M34/O34</f>
        <v>37.47211895910781</v>
      </c>
    </row>
    <row r="35" spans="1:16" ht="15.6" x14ac:dyDescent="0.3">
      <c r="A35" s="3"/>
      <c r="B35" s="3"/>
      <c r="C35" s="3"/>
      <c r="D35" s="3" t="s">
        <v>260</v>
      </c>
      <c r="E35" s="65">
        <v>10080</v>
      </c>
      <c r="F35" s="3"/>
      <c r="G35" s="3"/>
      <c r="H35" s="3"/>
      <c r="I35" s="3"/>
      <c r="J35" s="3"/>
      <c r="K35" s="3"/>
      <c r="L35" s="3"/>
      <c r="M35" s="3"/>
      <c r="N35" s="27"/>
      <c r="O35" s="3"/>
      <c r="P35" s="3"/>
    </row>
    <row r="36" spans="1:16" ht="15.6" x14ac:dyDescent="0.3">
      <c r="A36" s="3"/>
      <c r="B36" s="8" t="s">
        <v>49</v>
      </c>
      <c r="C36" s="8">
        <v>8</v>
      </c>
      <c r="D36" s="8"/>
      <c r="E36" s="8"/>
      <c r="F36" s="8"/>
      <c r="G36" s="35"/>
      <c r="H36" s="8"/>
      <c r="I36" s="16"/>
      <c r="J36" s="35">
        <f>F36*G36+H36*I36</f>
        <v>0</v>
      </c>
      <c r="K36" s="16" t="e">
        <f>E36/(J36)</f>
        <v>#DIV/0!</v>
      </c>
      <c r="L36" s="3"/>
      <c r="M36" s="26">
        <f>E36+'6-30-22'!M36</f>
        <v>8</v>
      </c>
      <c r="N36" s="27">
        <f>M36/C36</f>
        <v>1</v>
      </c>
      <c r="O36" s="35">
        <f>J36+'6-30-22'!O36</f>
        <v>69</v>
      </c>
      <c r="P36" s="26">
        <f>M36/O36</f>
        <v>0.11594202898550725</v>
      </c>
    </row>
    <row r="37" spans="1:16" ht="15.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27"/>
      <c r="O37" s="3"/>
      <c r="P37" s="3"/>
    </row>
    <row r="38" spans="1:16" ht="15.6" x14ac:dyDescent="0.3">
      <c r="A38" s="3"/>
      <c r="B38" s="8" t="s">
        <v>50</v>
      </c>
      <c r="C38" s="8">
        <f>2760+480</f>
        <v>3240</v>
      </c>
      <c r="D38" s="8"/>
      <c r="E38" s="8"/>
      <c r="F38" s="8"/>
      <c r="G38" s="35"/>
      <c r="H38" s="8"/>
      <c r="I38" s="16"/>
      <c r="J38" s="35">
        <f>F38*G38+H38*I38</f>
        <v>0</v>
      </c>
      <c r="K38" s="16" t="e">
        <f>E38/(J38)</f>
        <v>#DIV/0!</v>
      </c>
      <c r="L38" s="3"/>
      <c r="M38" s="26">
        <f>E38+'6-30-22'!M38</f>
        <v>1635</v>
      </c>
      <c r="N38" s="27">
        <f>M38/C38</f>
        <v>0.50462962962962965</v>
      </c>
      <c r="O38" s="35">
        <f>J38+'6-30-22'!O38</f>
        <v>72</v>
      </c>
      <c r="P38" s="26">
        <f>M38/O38</f>
        <v>22.708333333333332</v>
      </c>
    </row>
    <row r="39" spans="1:16" ht="15.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7"/>
      <c r="O39" s="3"/>
      <c r="P39" s="3"/>
    </row>
    <row r="40" spans="1:16" ht="15.6" x14ac:dyDescent="0.3">
      <c r="A40" s="3"/>
      <c r="B40" s="8" t="s">
        <v>115</v>
      </c>
      <c r="C40" s="8">
        <v>123</v>
      </c>
      <c r="D40" s="8"/>
      <c r="E40" s="8"/>
      <c r="F40" s="8"/>
      <c r="G40" s="35"/>
      <c r="H40" s="8"/>
      <c r="I40" s="16"/>
      <c r="J40" s="35">
        <f>F40*G40+H40*I40</f>
        <v>0</v>
      </c>
      <c r="K40" s="16" t="e">
        <f>E40/(J40)</f>
        <v>#DIV/0!</v>
      </c>
      <c r="L40" s="3"/>
      <c r="M40" s="26">
        <f>E40+'6-30-22'!M40</f>
        <v>0</v>
      </c>
      <c r="N40" s="27">
        <f>M40/C40</f>
        <v>0</v>
      </c>
      <c r="O40" s="35">
        <f>J40+'6-30-22'!O40</f>
        <v>0</v>
      </c>
      <c r="P40" s="35" t="e">
        <f>M40/O40</f>
        <v>#DIV/0!</v>
      </c>
    </row>
    <row r="41" spans="1:16" ht="15.6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27"/>
      <c r="O41" s="3"/>
      <c r="P41" s="3"/>
    </row>
    <row r="42" spans="1:16" ht="15.6" x14ac:dyDescent="0.3">
      <c r="A42" s="3"/>
      <c r="B42" s="8" t="s">
        <v>113</v>
      </c>
      <c r="C42" s="8" t="s">
        <v>52</v>
      </c>
      <c r="D42" s="8"/>
      <c r="E42" s="8"/>
      <c r="F42" s="8"/>
      <c r="G42" s="35"/>
      <c r="H42" s="8"/>
      <c r="I42" s="16"/>
      <c r="J42" s="35">
        <f>F42*G42+H42*I42</f>
        <v>0</v>
      </c>
      <c r="K42" s="16" t="e">
        <f>E42/(J42)</f>
        <v>#DIV/0!</v>
      </c>
      <c r="L42" s="3"/>
      <c r="M42" s="26">
        <f>E42+'6-30-22'!M42</f>
        <v>0</v>
      </c>
      <c r="N42" s="53" t="e">
        <f>M42/C42</f>
        <v>#VALUE!</v>
      </c>
      <c r="O42" s="35">
        <f>J42+'6-30-22'!O42</f>
        <v>0</v>
      </c>
      <c r="P42" s="35" t="e">
        <f>M42/O42</f>
        <v>#DIV/0!</v>
      </c>
    </row>
    <row r="43" spans="1:16" ht="15.6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27"/>
      <c r="O43" s="3"/>
      <c r="P43" s="3"/>
    </row>
    <row r="44" spans="1:16" ht="15.6" x14ac:dyDescent="0.3">
      <c r="A44" s="3"/>
      <c r="B44" s="8" t="s">
        <v>114</v>
      </c>
      <c r="C44" s="8" t="s">
        <v>52</v>
      </c>
      <c r="D44" s="8"/>
      <c r="E44" s="8"/>
      <c r="F44" s="8"/>
      <c r="G44" s="35"/>
      <c r="H44" s="8"/>
      <c r="I44" s="16"/>
      <c r="J44" s="35">
        <f>F44*G44+H44*I44</f>
        <v>0</v>
      </c>
      <c r="K44" s="16" t="e">
        <f>E44/(J44)</f>
        <v>#DIV/0!</v>
      </c>
      <c r="L44" s="3"/>
      <c r="M44" s="26" t="e">
        <f>E44+'6-30-22'!M44</f>
        <v>#VALUE!</v>
      </c>
      <c r="N44" s="53" t="e">
        <f>M44/C44</f>
        <v>#VALUE!</v>
      </c>
      <c r="O44" s="35">
        <f>J44+'6-30-22'!O44</f>
        <v>99</v>
      </c>
      <c r="P44" s="26" t="e">
        <f>M44/O44</f>
        <v>#VALUE!</v>
      </c>
    </row>
    <row r="45" spans="1:16" ht="15.6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27"/>
      <c r="O45" s="3"/>
      <c r="P45" s="3"/>
    </row>
    <row r="46" spans="1:16" ht="15.6" x14ac:dyDescent="0.3">
      <c r="A46" s="3"/>
      <c r="B46" s="8" t="s">
        <v>75</v>
      </c>
      <c r="C46" s="8"/>
      <c r="D46" s="8"/>
      <c r="E46" s="8"/>
      <c r="F46" s="8"/>
      <c r="G46" s="35"/>
      <c r="H46" s="8"/>
      <c r="I46" s="16"/>
      <c r="J46" s="35">
        <f>F46*G46+H46*I46</f>
        <v>0</v>
      </c>
      <c r="K46" s="16" t="e">
        <f>E46/(J46)</f>
        <v>#DIV/0!</v>
      </c>
      <c r="L46" s="3"/>
      <c r="M46" s="26">
        <f>E46+'6-30-22'!M46</f>
        <v>0</v>
      </c>
      <c r="N46" s="53" t="e">
        <f>M46/C46</f>
        <v>#DIV/0!</v>
      </c>
      <c r="O46" s="35">
        <f>J46+'6-30-22'!O46</f>
        <v>253.5</v>
      </c>
      <c r="P46" s="26">
        <f>M46/O46</f>
        <v>0</v>
      </c>
    </row>
    <row r="47" spans="1:16" ht="15.6" x14ac:dyDescent="0.3">
      <c r="A47" s="3"/>
      <c r="B47" s="3" t="s">
        <v>27</v>
      </c>
      <c r="C47" s="3"/>
      <c r="D47" s="3" t="s">
        <v>52</v>
      </c>
      <c r="E47" s="3"/>
      <c r="F47" s="3"/>
      <c r="G47" s="3"/>
      <c r="H47" s="30"/>
      <c r="I47" s="4"/>
      <c r="J47" s="3">
        <f>J20+J22+J24+J26+J28+J30+J32+J34+J36+J38+J40+J42+J44+J46</f>
        <v>152</v>
      </c>
      <c r="K47" s="3"/>
      <c r="L47" s="3"/>
      <c r="M47" s="3"/>
      <c r="N47" s="3"/>
      <c r="O47" s="3">
        <f>O20+O22+O24+O26+O28+O30+O32+O34+O36+O38+O40+O42+O44+O46</f>
        <v>3554.5</v>
      </c>
      <c r="P47" s="3"/>
    </row>
    <row r="48" spans="1:16" ht="15.6" x14ac:dyDescent="0.3">
      <c r="A48" s="3"/>
      <c r="B48" s="3"/>
      <c r="C48" s="3"/>
      <c r="D48" s="3"/>
      <c r="E48" s="3"/>
      <c r="F48" s="3"/>
      <c r="G48" s="3"/>
      <c r="H48" s="3"/>
      <c r="I48" s="4"/>
      <c r="J48" s="3"/>
      <c r="K48" s="3"/>
      <c r="L48" s="3"/>
      <c r="M48" s="3"/>
      <c r="N48" s="3"/>
      <c r="O48" s="3"/>
      <c r="P48" s="3"/>
    </row>
    <row r="49" spans="1:16" ht="15.6" x14ac:dyDescent="0.3">
      <c r="A49" s="3"/>
      <c r="B49" s="3" t="s">
        <v>28</v>
      </c>
      <c r="C49" s="3" t="s">
        <v>261</v>
      </c>
      <c r="D49" s="3"/>
      <c r="E49" s="3"/>
      <c r="F49" s="3"/>
      <c r="G49" s="3"/>
      <c r="H49" s="3"/>
      <c r="I49" s="4"/>
      <c r="J49" s="3"/>
      <c r="K49" s="3"/>
      <c r="L49" s="3"/>
      <c r="M49" s="3"/>
      <c r="N49" s="3"/>
      <c r="O49" s="3"/>
      <c r="P49" s="3"/>
    </row>
    <row r="50" spans="1:16" ht="15.6" x14ac:dyDescent="0.3">
      <c r="C50" s="33"/>
    </row>
    <row r="51" spans="1:16" ht="15.6" x14ac:dyDescent="0.3">
      <c r="B51" s="3" t="s">
        <v>32</v>
      </c>
      <c r="C51" s="33" t="s">
        <v>262</v>
      </c>
    </row>
    <row r="52" spans="1:16" ht="15.6" x14ac:dyDescent="0.3">
      <c r="C52" s="33"/>
    </row>
    <row r="53" spans="1:16" ht="15.6" x14ac:dyDescent="0.3">
      <c r="B53" s="3" t="s">
        <v>33</v>
      </c>
      <c r="C53" s="3" t="s">
        <v>263</v>
      </c>
    </row>
    <row r="54" spans="1:16" ht="15.6" x14ac:dyDescent="0.3">
      <c r="C54" s="33" t="s">
        <v>264</v>
      </c>
    </row>
    <row r="55" spans="1:16" ht="15.6" x14ac:dyDescent="0.3">
      <c r="C55" s="33" t="s">
        <v>52</v>
      </c>
    </row>
    <row r="57" spans="1:16" x14ac:dyDescent="0.3">
      <c r="C57" t="s">
        <v>52</v>
      </c>
      <c r="D57" t="s">
        <v>52</v>
      </c>
    </row>
    <row r="58" spans="1:16" x14ac:dyDescent="0.3">
      <c r="C58" t="s">
        <v>52</v>
      </c>
      <c r="D58" t="s">
        <v>52</v>
      </c>
    </row>
  </sheetData>
  <mergeCells count="3">
    <mergeCell ref="A1:G1"/>
    <mergeCell ref="H7:I7"/>
    <mergeCell ref="L7:M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747E1-8462-4D99-A1DC-FEFDDC325143}">
  <dimension ref="A1:R58"/>
  <sheetViews>
    <sheetView zoomScale="85" zoomScaleNormal="85" workbookViewId="0">
      <selection activeCell="C5" sqref="C5"/>
    </sheetView>
  </sheetViews>
  <sheetFormatPr defaultRowHeight="14.4" x14ac:dyDescent="0.3"/>
  <cols>
    <col min="1" max="1" width="11.33203125" customWidth="1"/>
    <col min="2" max="2" width="29.33203125" customWidth="1"/>
    <col min="3" max="3" width="22.109375" customWidth="1"/>
    <col min="4" max="4" width="12.6640625" customWidth="1"/>
    <col min="5" max="5" width="14.44140625" customWidth="1"/>
    <col min="6" max="6" width="13.33203125" customWidth="1"/>
    <col min="8" max="8" width="20.44140625" customWidth="1"/>
    <col min="12" max="12" width="13.44140625" customWidth="1"/>
    <col min="13" max="13" width="10.6640625" customWidth="1"/>
    <col min="14" max="14" width="10" bestFit="1" customWidth="1"/>
    <col min="15" max="15" width="10.6640625" customWidth="1"/>
    <col min="18" max="18" width="9.6640625" bestFit="1" customWidth="1"/>
  </cols>
  <sheetData>
    <row r="1" spans="1:18" ht="18" x14ac:dyDescent="0.35">
      <c r="A1" s="66" t="s">
        <v>0</v>
      </c>
      <c r="B1" s="66"/>
      <c r="C1" s="66"/>
      <c r="D1" s="66"/>
      <c r="E1" s="66"/>
      <c r="F1" s="66"/>
      <c r="G1" s="66"/>
      <c r="H1" s="1"/>
      <c r="I1" s="2"/>
      <c r="J1" s="1"/>
      <c r="K1" s="1"/>
      <c r="L1" s="1"/>
      <c r="M1" s="1"/>
      <c r="N1" s="1"/>
      <c r="O1" s="1"/>
      <c r="P1" s="1"/>
    </row>
    <row r="2" spans="1:18" ht="15.6" x14ac:dyDescent="0.3">
      <c r="A2" s="3"/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</row>
    <row r="3" spans="1:18" ht="15.6" x14ac:dyDescent="0.3">
      <c r="A3" s="3"/>
      <c r="B3" s="5" t="s">
        <v>1</v>
      </c>
      <c r="C3" s="6" t="s">
        <v>43</v>
      </c>
      <c r="D3" s="7"/>
      <c r="E3" s="3"/>
      <c r="F3" s="5" t="s">
        <v>2</v>
      </c>
      <c r="G3" s="8">
        <v>4355</v>
      </c>
      <c r="H3" s="34" t="s">
        <v>41</v>
      </c>
      <c r="I3" s="35">
        <v>49</v>
      </c>
      <c r="J3" s="3"/>
      <c r="K3" s="3"/>
      <c r="L3" s="3"/>
      <c r="N3" s="3" t="s">
        <v>163</v>
      </c>
      <c r="O3" s="3"/>
      <c r="P3" s="3"/>
      <c r="Q3" s="61" t="s">
        <v>196</v>
      </c>
      <c r="R3" s="62">
        <v>44702</v>
      </c>
    </row>
    <row r="4" spans="1:18" ht="15.6" x14ac:dyDescent="0.3">
      <c r="A4" s="3"/>
      <c r="B4" s="5" t="s">
        <v>3</v>
      </c>
      <c r="C4" s="37">
        <v>300155</v>
      </c>
      <c r="D4" s="7"/>
      <c r="E4" s="3"/>
      <c r="F4" s="5" t="s">
        <v>4</v>
      </c>
      <c r="G4" s="56">
        <f>N16+'6-30-22'!G4</f>
        <v>3583</v>
      </c>
      <c r="H4" s="34" t="s">
        <v>42</v>
      </c>
      <c r="I4" s="16">
        <v>47</v>
      </c>
      <c r="J4" s="58"/>
      <c r="K4" s="3"/>
      <c r="L4" s="3"/>
      <c r="M4" s="3"/>
      <c r="N4" s="3"/>
      <c r="O4" s="3"/>
      <c r="P4" s="3" t="s">
        <v>52</v>
      </c>
      <c r="Q4" s="61" t="s">
        <v>196</v>
      </c>
      <c r="R4" s="62">
        <v>44732</v>
      </c>
    </row>
    <row r="5" spans="1:18" ht="15.6" x14ac:dyDescent="0.3">
      <c r="A5" s="3"/>
      <c r="B5" s="5" t="s">
        <v>5</v>
      </c>
      <c r="C5" s="38"/>
      <c r="D5" s="3"/>
      <c r="E5" s="3"/>
      <c r="F5" s="3"/>
      <c r="G5" s="59">
        <f>G4/G3</f>
        <v>0.82273249138920779</v>
      </c>
      <c r="H5" s="3"/>
      <c r="I5" s="60">
        <f>I4/I3</f>
        <v>0.95918367346938771</v>
      </c>
      <c r="J5" s="3"/>
      <c r="K5" s="3"/>
      <c r="L5" s="3"/>
      <c r="M5" s="3"/>
      <c r="N5" s="3"/>
      <c r="O5" s="3"/>
      <c r="P5" s="3"/>
      <c r="Q5" s="61"/>
      <c r="R5" s="61"/>
    </row>
    <row r="6" spans="1:18" ht="15.6" x14ac:dyDescent="0.3">
      <c r="A6" s="3"/>
      <c r="B6" s="5"/>
      <c r="C6" s="3"/>
      <c r="D6" s="3"/>
      <c r="E6" s="3"/>
      <c r="F6" s="3"/>
      <c r="G6" s="3"/>
      <c r="H6" s="3"/>
      <c r="I6" s="4"/>
      <c r="J6" s="3"/>
      <c r="K6" s="30"/>
      <c r="L6" s="3"/>
      <c r="M6" s="3"/>
      <c r="N6" s="3"/>
      <c r="O6" s="3"/>
      <c r="P6" s="3"/>
      <c r="Q6" s="61"/>
      <c r="R6" s="61"/>
    </row>
    <row r="7" spans="1:18" ht="15.6" x14ac:dyDescent="0.3">
      <c r="A7" s="10" t="s">
        <v>6</v>
      </c>
      <c r="B7" s="11"/>
      <c r="C7" s="12" t="s">
        <v>7</v>
      </c>
      <c r="D7" s="3"/>
      <c r="E7" s="12" t="s">
        <v>8</v>
      </c>
      <c r="F7" s="12" t="s">
        <v>34</v>
      </c>
      <c r="G7" s="3"/>
      <c r="H7" s="67" t="s">
        <v>7</v>
      </c>
      <c r="I7" s="67"/>
      <c r="J7" s="12" t="s">
        <v>8</v>
      </c>
      <c r="K7" s="3"/>
      <c r="L7" s="67" t="s">
        <v>7</v>
      </c>
      <c r="M7" s="67"/>
      <c r="N7" s="12" t="s">
        <v>8</v>
      </c>
      <c r="O7" s="12" t="s">
        <v>34</v>
      </c>
      <c r="P7" s="3"/>
      <c r="Q7" s="61"/>
      <c r="R7" s="61"/>
    </row>
    <row r="8" spans="1:18" ht="15.6" x14ac:dyDescent="0.3">
      <c r="A8" s="13">
        <v>1</v>
      </c>
      <c r="B8" s="5" t="s">
        <v>9</v>
      </c>
      <c r="C8" s="14" t="s">
        <v>35</v>
      </c>
      <c r="D8" s="15"/>
      <c r="E8" s="35">
        <v>9.5</v>
      </c>
      <c r="F8" s="16">
        <v>66</v>
      </c>
      <c r="G8" s="11">
        <v>9</v>
      </c>
      <c r="H8" s="14" t="s">
        <v>40</v>
      </c>
      <c r="I8" s="8"/>
      <c r="J8" s="35">
        <v>9.5</v>
      </c>
      <c r="K8" s="11">
        <v>17</v>
      </c>
      <c r="L8" s="63" t="s">
        <v>239</v>
      </c>
      <c r="M8" s="8"/>
      <c r="N8" s="35">
        <v>9.5</v>
      </c>
      <c r="O8" s="16">
        <v>83</v>
      </c>
      <c r="P8" s="3"/>
      <c r="Q8" s="61"/>
      <c r="R8" s="61"/>
    </row>
    <row r="9" spans="1:18" ht="15.6" x14ac:dyDescent="0.3">
      <c r="A9" s="13">
        <v>2</v>
      </c>
      <c r="B9" s="5" t="s">
        <v>10</v>
      </c>
      <c r="C9" s="14" t="s">
        <v>37</v>
      </c>
      <c r="D9" s="8"/>
      <c r="E9" s="35">
        <v>9.5</v>
      </c>
      <c r="F9" s="16"/>
      <c r="G9" s="11">
        <v>10</v>
      </c>
      <c r="H9" s="64" t="s">
        <v>232</v>
      </c>
      <c r="I9" s="8"/>
      <c r="J9" s="39">
        <v>9.5</v>
      </c>
      <c r="K9" s="11">
        <v>18</v>
      </c>
      <c r="L9" s="63" t="s">
        <v>229</v>
      </c>
      <c r="M9" s="8"/>
      <c r="N9" s="39">
        <v>9.5</v>
      </c>
      <c r="O9" s="16">
        <v>84</v>
      </c>
      <c r="P9" s="3"/>
      <c r="Q9" s="61"/>
      <c r="R9" s="61"/>
    </row>
    <row r="10" spans="1:18" ht="15.6" x14ac:dyDescent="0.3">
      <c r="A10" s="13">
        <v>3</v>
      </c>
      <c r="B10" s="5" t="s">
        <v>11</v>
      </c>
      <c r="C10" s="14" t="s">
        <v>36</v>
      </c>
      <c r="D10" s="8"/>
      <c r="E10" s="35">
        <v>9.5</v>
      </c>
      <c r="F10" s="16">
        <v>78</v>
      </c>
      <c r="G10" s="11">
        <v>11</v>
      </c>
      <c r="H10" s="64" t="s">
        <v>233</v>
      </c>
      <c r="I10" s="8"/>
      <c r="J10" s="39">
        <v>9.5</v>
      </c>
      <c r="K10" s="11">
        <v>19</v>
      </c>
      <c r="L10" s="63" t="s">
        <v>230</v>
      </c>
      <c r="M10" s="8"/>
      <c r="N10" s="39">
        <v>9.5</v>
      </c>
      <c r="O10" s="16">
        <v>81</v>
      </c>
      <c r="P10" s="3"/>
      <c r="Q10" s="61"/>
      <c r="R10" s="61"/>
    </row>
    <row r="11" spans="1:18" ht="15.6" x14ac:dyDescent="0.3">
      <c r="A11" s="13">
        <v>4</v>
      </c>
      <c r="B11" s="5" t="s">
        <v>12</v>
      </c>
      <c r="C11" s="14" t="s">
        <v>29</v>
      </c>
      <c r="D11" s="8"/>
      <c r="E11" s="35">
        <v>9.5</v>
      </c>
      <c r="F11" s="16"/>
      <c r="G11" s="11">
        <v>12</v>
      </c>
      <c r="H11" s="64" t="s">
        <v>234</v>
      </c>
      <c r="I11" s="8"/>
      <c r="J11" s="39">
        <v>9.5</v>
      </c>
      <c r="K11" s="11">
        <v>20</v>
      </c>
      <c r="L11" s="63" t="s">
        <v>231</v>
      </c>
      <c r="M11" s="8"/>
      <c r="N11" s="39">
        <v>9.5</v>
      </c>
      <c r="O11" s="16">
        <v>79</v>
      </c>
      <c r="P11" s="3"/>
      <c r="Q11" s="61"/>
      <c r="R11" s="61"/>
    </row>
    <row r="12" spans="1:18" ht="15.6" x14ac:dyDescent="0.3">
      <c r="A12" s="13">
        <v>5</v>
      </c>
      <c r="B12" s="3"/>
      <c r="C12" s="31" t="s">
        <v>30</v>
      </c>
      <c r="D12" s="8"/>
      <c r="E12" s="35">
        <v>9.5</v>
      </c>
      <c r="F12" s="16"/>
      <c r="G12" s="11">
        <v>13</v>
      </c>
      <c r="H12" s="64" t="s">
        <v>235</v>
      </c>
      <c r="I12" s="8"/>
      <c r="J12" s="39">
        <v>0</v>
      </c>
      <c r="K12" s="11">
        <v>21</v>
      </c>
      <c r="L12" s="64" t="s">
        <v>240</v>
      </c>
      <c r="M12" s="8"/>
      <c r="N12" s="39">
        <v>9.5</v>
      </c>
      <c r="O12" s="16"/>
      <c r="P12" s="3"/>
    </row>
    <row r="13" spans="1:18" ht="15.6" x14ac:dyDescent="0.3">
      <c r="A13" s="13">
        <v>6</v>
      </c>
      <c r="B13" s="3"/>
      <c r="C13" s="14" t="s">
        <v>31</v>
      </c>
      <c r="D13" s="8"/>
      <c r="E13" s="35">
        <v>9.5</v>
      </c>
      <c r="F13" s="16">
        <v>74</v>
      </c>
      <c r="G13" s="11">
        <v>14</v>
      </c>
      <c r="H13" s="63" t="s">
        <v>236</v>
      </c>
      <c r="I13" s="8"/>
      <c r="J13" s="39">
        <v>0</v>
      </c>
      <c r="K13" s="11">
        <v>22</v>
      </c>
      <c r="L13" s="18"/>
      <c r="M13" s="8"/>
      <c r="N13" s="39"/>
      <c r="O13" s="16" t="s">
        <v>52</v>
      </c>
      <c r="P13" s="3"/>
    </row>
    <row r="14" spans="1:18" ht="15.6" x14ac:dyDescent="0.3">
      <c r="A14" s="13">
        <v>7</v>
      </c>
      <c r="B14" s="5" t="s">
        <v>52</v>
      </c>
      <c r="C14" s="14" t="s">
        <v>39</v>
      </c>
      <c r="D14" s="8"/>
      <c r="E14" s="35">
        <v>9.5</v>
      </c>
      <c r="F14" s="16"/>
      <c r="G14" s="11">
        <v>15</v>
      </c>
      <c r="H14" s="64" t="s">
        <v>237</v>
      </c>
      <c r="I14" s="8"/>
      <c r="J14" s="39">
        <v>9.5</v>
      </c>
      <c r="K14" s="11">
        <v>23</v>
      </c>
      <c r="L14" s="3"/>
      <c r="M14" s="8"/>
      <c r="N14" s="39"/>
      <c r="O14" s="16"/>
      <c r="P14" s="3"/>
    </row>
    <row r="15" spans="1:18" ht="15.6" x14ac:dyDescent="0.3">
      <c r="A15" s="13">
        <v>8</v>
      </c>
      <c r="B15" s="3"/>
      <c r="C15" s="14" t="s">
        <v>38</v>
      </c>
      <c r="D15" s="8"/>
      <c r="E15" s="35">
        <v>9.5</v>
      </c>
      <c r="F15" s="16"/>
      <c r="G15" s="11">
        <v>16</v>
      </c>
      <c r="H15" s="64" t="s">
        <v>238</v>
      </c>
      <c r="I15" s="8"/>
      <c r="J15" s="35">
        <v>9.5</v>
      </c>
      <c r="K15" s="11">
        <v>24</v>
      </c>
      <c r="L15" s="3"/>
      <c r="M15" s="8"/>
      <c r="N15" s="39"/>
      <c r="O15" s="16"/>
      <c r="P15" s="3"/>
    </row>
    <row r="16" spans="1:18" ht="15.6" x14ac:dyDescent="0.3">
      <c r="A16" s="3"/>
      <c r="B16" s="3"/>
      <c r="C16" s="3"/>
      <c r="D16" s="3"/>
      <c r="E16" s="3"/>
      <c r="F16" s="3"/>
      <c r="G16" s="13"/>
      <c r="H16" s="7"/>
      <c r="I16" s="3"/>
      <c r="J16" s="3"/>
      <c r="K16" s="13"/>
      <c r="L16" s="7" t="s">
        <v>13</v>
      </c>
      <c r="M16" s="3"/>
      <c r="N16" s="8">
        <f>E8+E9+E10+E11+E12+E13+E14+E15+J8+J9+J10+J11+J12+J13+J14+J15+N8+N9+N10+N11+N12+N13+N14+N15</f>
        <v>180.5</v>
      </c>
      <c r="O16" s="3"/>
      <c r="P16" s="3"/>
    </row>
    <row r="17" spans="1:16" ht="15.6" x14ac:dyDescent="0.3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  <c r="L17" s="3"/>
      <c r="M17" s="3"/>
      <c r="N17" s="3"/>
      <c r="O17" s="3"/>
      <c r="P17" s="3"/>
    </row>
    <row r="18" spans="1:16" ht="93.6" x14ac:dyDescent="0.3">
      <c r="A18" s="19"/>
      <c r="B18" s="20" t="s">
        <v>14</v>
      </c>
      <c r="C18" s="21" t="s">
        <v>15</v>
      </c>
      <c r="D18" s="22" t="s">
        <v>16</v>
      </c>
      <c r="E18" s="22" t="s">
        <v>17</v>
      </c>
      <c r="F18" s="22" t="s">
        <v>18</v>
      </c>
      <c r="G18" s="22" t="s">
        <v>19</v>
      </c>
      <c r="H18" s="22" t="s">
        <v>18</v>
      </c>
      <c r="I18" s="22" t="s">
        <v>19</v>
      </c>
      <c r="J18" s="22" t="s">
        <v>20</v>
      </c>
      <c r="K18" s="23" t="s">
        <v>21</v>
      </c>
      <c r="L18" s="24"/>
      <c r="M18" s="23" t="s">
        <v>22</v>
      </c>
      <c r="N18" s="23" t="s">
        <v>23</v>
      </c>
      <c r="O18" s="23" t="s">
        <v>24</v>
      </c>
      <c r="P18" s="23" t="s">
        <v>25</v>
      </c>
    </row>
    <row r="19" spans="1:16" ht="15.6" x14ac:dyDescent="0.3">
      <c r="A19" s="19"/>
      <c r="B19" s="19"/>
      <c r="C19" s="24"/>
      <c r="D19" s="24"/>
      <c r="E19" s="24"/>
      <c r="F19" s="24"/>
      <c r="G19" s="24"/>
      <c r="H19" s="24"/>
      <c r="I19" s="24"/>
      <c r="J19" s="24"/>
      <c r="K19" s="25"/>
      <c r="L19" s="24"/>
      <c r="M19" s="3"/>
      <c r="N19" s="3"/>
      <c r="O19" s="3"/>
      <c r="P19" s="3"/>
    </row>
    <row r="20" spans="1:16" ht="15.6" x14ac:dyDescent="0.3">
      <c r="A20" s="3"/>
      <c r="B20" s="8" t="s">
        <v>26</v>
      </c>
      <c r="C20" s="8">
        <v>1</v>
      </c>
      <c r="D20" s="8">
        <v>1</v>
      </c>
      <c r="E20" s="8"/>
      <c r="F20" s="8"/>
      <c r="G20" s="35">
        <v>0</v>
      </c>
      <c r="H20" s="8"/>
      <c r="I20" s="16"/>
      <c r="J20" s="35">
        <f>F20*G20+H20*I20</f>
        <v>0</v>
      </c>
      <c r="K20" s="16" t="e">
        <f>E20/(J20)</f>
        <v>#DIV/0!</v>
      </c>
      <c r="L20" s="3"/>
      <c r="M20" s="26">
        <v>0</v>
      </c>
      <c r="N20" s="27">
        <f>M20/C20</f>
        <v>0</v>
      </c>
      <c r="O20" s="35">
        <f>J20+'6-30-22'!O20</f>
        <v>108</v>
      </c>
      <c r="P20" s="26">
        <f>M20/O20</f>
        <v>0</v>
      </c>
    </row>
    <row r="21" spans="1:16" ht="15.6" x14ac:dyDescent="0.3">
      <c r="A21" s="3"/>
      <c r="B21" s="3"/>
      <c r="C21" s="3"/>
      <c r="D21" s="3"/>
      <c r="E21" s="3"/>
      <c r="F21" s="3"/>
      <c r="G21" s="40"/>
      <c r="H21" s="3"/>
      <c r="I21" s="28"/>
      <c r="J21" s="40"/>
      <c r="K21" s="28"/>
      <c r="L21" s="3"/>
      <c r="M21" s="29"/>
      <c r="N21" s="3"/>
      <c r="O21" s="3"/>
      <c r="P21" s="3"/>
    </row>
    <row r="22" spans="1:16" ht="15.6" x14ac:dyDescent="0.3">
      <c r="A22" s="3"/>
      <c r="B22" s="8" t="s">
        <v>53</v>
      </c>
      <c r="C22" s="8">
        <v>125400</v>
      </c>
      <c r="D22" s="41"/>
      <c r="E22" s="41"/>
      <c r="F22" s="8"/>
      <c r="G22" s="35"/>
      <c r="H22" s="8"/>
      <c r="I22" s="16"/>
      <c r="J22" s="35">
        <f>F22*G22+H22*I22</f>
        <v>0</v>
      </c>
      <c r="K22" s="16" t="e">
        <f>E22/(J22)</f>
        <v>#DIV/0!</v>
      </c>
      <c r="L22" s="3"/>
      <c r="M22" s="26">
        <f>E22+'6-30-22'!M22</f>
        <v>125400</v>
      </c>
      <c r="N22" s="27">
        <f>M22/C22</f>
        <v>1</v>
      </c>
      <c r="O22" s="35">
        <f>J22+'6-30-22'!O22</f>
        <v>679.75</v>
      </c>
      <c r="P22" s="26">
        <f>M22/O22</f>
        <v>184.47958808385437</v>
      </c>
    </row>
    <row r="23" spans="1:16" ht="15.6" x14ac:dyDescent="0.3">
      <c r="A23" s="3"/>
      <c r="B23" s="3"/>
      <c r="C23" s="3"/>
      <c r="D23" s="3"/>
      <c r="E23" s="3"/>
      <c r="F23" s="3"/>
      <c r="G23" s="40"/>
      <c r="H23" s="3"/>
      <c r="I23" s="28"/>
      <c r="J23" s="40"/>
      <c r="K23" s="28"/>
      <c r="L23" s="3"/>
      <c r="M23" s="29"/>
      <c r="N23" s="3"/>
      <c r="O23" s="36"/>
      <c r="P23" s="29"/>
    </row>
    <row r="24" spans="1:16" ht="15.6" x14ac:dyDescent="0.3">
      <c r="A24" s="3"/>
      <c r="B24" s="8" t="s">
        <v>54</v>
      </c>
      <c r="C24" s="8">
        <v>125400</v>
      </c>
      <c r="D24" s="8"/>
      <c r="E24" s="8"/>
      <c r="F24" s="8"/>
      <c r="G24" s="35"/>
      <c r="H24" s="8"/>
      <c r="I24" s="16"/>
      <c r="J24" s="35">
        <f>F24*G24+H24*I24</f>
        <v>0</v>
      </c>
      <c r="K24" s="16" t="e">
        <f>E24/(J24)</f>
        <v>#DIV/0!</v>
      </c>
      <c r="L24" s="3"/>
      <c r="M24" s="26">
        <f>E24+'6-30-22'!M24</f>
        <v>125400</v>
      </c>
      <c r="N24" s="27">
        <f>M24/C24</f>
        <v>1</v>
      </c>
      <c r="O24" s="35">
        <f>J24+'6-30-22'!O24</f>
        <v>449.75</v>
      </c>
      <c r="P24" s="26">
        <f>M24/O24</f>
        <v>278.82156753752082</v>
      </c>
    </row>
    <row r="25" spans="1:16" ht="15.6" x14ac:dyDescent="0.3">
      <c r="A25" s="3"/>
      <c r="B25" s="3"/>
      <c r="C25" s="3"/>
      <c r="D25" s="3"/>
      <c r="E25" s="3"/>
      <c r="F25" s="3"/>
      <c r="G25" s="36"/>
      <c r="H25" s="3"/>
      <c r="I25" s="4"/>
      <c r="J25" s="36"/>
      <c r="K25" s="4"/>
      <c r="L25" s="3"/>
      <c r="M25" s="29"/>
      <c r="N25" s="3"/>
      <c r="O25" s="3"/>
      <c r="P25" s="3"/>
    </row>
    <row r="26" spans="1:16" ht="15.6" x14ac:dyDescent="0.3">
      <c r="A26" s="3"/>
      <c r="B26" s="8" t="s">
        <v>44</v>
      </c>
      <c r="C26" s="8">
        <v>3040</v>
      </c>
      <c r="D26" s="8"/>
      <c r="E26" s="8"/>
      <c r="F26" s="8"/>
      <c r="G26" s="35"/>
      <c r="H26" s="8"/>
      <c r="I26" s="16"/>
      <c r="J26" s="35">
        <f>F26*G26+H26*I26</f>
        <v>0</v>
      </c>
      <c r="K26" s="16" t="e">
        <f>E26/(J26)</f>
        <v>#DIV/0!</v>
      </c>
      <c r="L26" s="3"/>
      <c r="M26" s="26">
        <f>E26+'6-30-22'!M26</f>
        <v>3040</v>
      </c>
      <c r="N26" s="27">
        <f>M26/C26</f>
        <v>1</v>
      </c>
      <c r="O26" s="35">
        <f>J26+'6-30-22'!O26</f>
        <v>121.25</v>
      </c>
      <c r="P26" s="26">
        <f>M26/O26</f>
        <v>25.072164948453608</v>
      </c>
    </row>
    <row r="27" spans="1:16" ht="15.6" x14ac:dyDescent="0.3">
      <c r="A27" s="3"/>
      <c r="B27" s="3"/>
      <c r="C27" s="3"/>
      <c r="D27" s="3"/>
      <c r="E27" s="3"/>
      <c r="F27" s="3"/>
      <c r="G27" s="36"/>
      <c r="H27" s="3"/>
      <c r="I27" s="4"/>
      <c r="J27" s="36"/>
      <c r="K27" s="4"/>
      <c r="L27" s="3"/>
      <c r="M27" s="29"/>
      <c r="N27" s="3"/>
      <c r="O27" s="3"/>
      <c r="P27" s="3"/>
    </row>
    <row r="28" spans="1:16" ht="15.6" x14ac:dyDescent="0.3">
      <c r="A28" s="3"/>
      <c r="B28" s="8" t="s">
        <v>45</v>
      </c>
      <c r="C28" s="8">
        <v>3040</v>
      </c>
      <c r="D28" s="8"/>
      <c r="E28" s="8"/>
      <c r="F28" s="8"/>
      <c r="G28" s="35"/>
      <c r="H28" s="8"/>
      <c r="I28" s="35"/>
      <c r="J28" s="35">
        <f>F28*G28+H28*I28</f>
        <v>0</v>
      </c>
      <c r="K28" s="16" t="e">
        <f>E28/(J28)</f>
        <v>#DIV/0!</v>
      </c>
      <c r="L28" s="3"/>
      <c r="M28" s="26">
        <f>E28+'6-30-22'!M28</f>
        <v>2362</v>
      </c>
      <c r="N28" s="27">
        <f>M28/C28</f>
        <v>0.77697368421052626</v>
      </c>
      <c r="O28" s="35">
        <f>J28+'6-30-22'!O28</f>
        <v>621.25</v>
      </c>
      <c r="P28" s="26">
        <f>M28/O28</f>
        <v>3.8020120724346076</v>
      </c>
    </row>
    <row r="29" spans="1:16" ht="15.6" x14ac:dyDescent="0.3">
      <c r="A29" s="3"/>
      <c r="B29" s="3"/>
      <c r="C29" s="3"/>
      <c r="D29" s="3"/>
      <c r="E29" s="3"/>
      <c r="F29" s="3"/>
      <c r="G29" s="36"/>
      <c r="H29" s="3"/>
      <c r="I29" s="4"/>
      <c r="J29" s="36"/>
      <c r="K29" s="4"/>
      <c r="L29" s="3"/>
      <c r="M29" s="29"/>
      <c r="N29" s="3"/>
      <c r="O29" s="3"/>
      <c r="P29" s="3"/>
    </row>
    <row r="30" spans="1:16" ht="15.6" x14ac:dyDescent="0.3">
      <c r="A30" s="3"/>
      <c r="B30" s="8" t="s">
        <v>47</v>
      </c>
      <c r="C30" s="8">
        <v>123400</v>
      </c>
      <c r="D30" s="8"/>
      <c r="E30" s="8"/>
      <c r="F30" s="8"/>
      <c r="G30" s="35"/>
      <c r="H30" s="8"/>
      <c r="I30" s="35"/>
      <c r="J30" s="35">
        <f>F30*G30+H30*I30</f>
        <v>0</v>
      </c>
      <c r="K30" s="16" t="e">
        <f>E30/(J30)</f>
        <v>#DIV/0!</v>
      </c>
      <c r="L30" s="3"/>
      <c r="M30" s="26">
        <f>E30+'6-30-22'!M30</f>
        <v>123400</v>
      </c>
      <c r="N30" s="27">
        <f>M30/C30</f>
        <v>1</v>
      </c>
      <c r="O30" s="35">
        <f>J30+'6-30-22'!O30</f>
        <v>645.5</v>
      </c>
      <c r="P30" s="26">
        <f>M30/O30</f>
        <v>191.16963594113091</v>
      </c>
    </row>
    <row r="31" spans="1:16" ht="15.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7"/>
      <c r="O31" s="3"/>
      <c r="P31" s="3"/>
    </row>
    <row r="32" spans="1:16" ht="15.6" x14ac:dyDescent="0.3">
      <c r="A32" s="3"/>
      <c r="B32" s="8" t="s">
        <v>46</v>
      </c>
      <c r="C32" s="8">
        <v>303</v>
      </c>
      <c r="D32" s="8"/>
      <c r="E32" s="8"/>
      <c r="F32" s="8"/>
      <c r="G32" s="35"/>
      <c r="H32" s="8"/>
      <c r="I32" s="16"/>
      <c r="J32" s="35">
        <f>F32*G32+H32*I32</f>
        <v>0</v>
      </c>
      <c r="K32" s="16" t="e">
        <f>E32/(J32)</f>
        <v>#DIV/0!</v>
      </c>
      <c r="L32" s="3"/>
      <c r="M32" s="26">
        <f>E32+'6-30-22'!M32</f>
        <v>303</v>
      </c>
      <c r="N32" s="27">
        <f>M32/C32</f>
        <v>1</v>
      </c>
      <c r="O32" s="35">
        <f>J32+'6-30-22'!O32</f>
        <v>166.5</v>
      </c>
      <c r="P32" s="26">
        <f>M32/O32</f>
        <v>1.8198198198198199</v>
      </c>
    </row>
    <row r="33" spans="1:16" ht="15.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7"/>
      <c r="O33" s="3"/>
      <c r="P33" s="3"/>
    </row>
    <row r="34" spans="1:16" ht="15.6" x14ac:dyDescent="0.3">
      <c r="A34" s="3"/>
      <c r="B34" s="8" t="s">
        <v>48</v>
      </c>
      <c r="C34" s="8">
        <v>115000</v>
      </c>
      <c r="D34" s="8" t="s">
        <v>253</v>
      </c>
      <c r="E34" s="41">
        <v>15420</v>
      </c>
      <c r="F34" s="8">
        <v>19</v>
      </c>
      <c r="G34" s="35">
        <v>9.5</v>
      </c>
      <c r="H34" s="8"/>
      <c r="I34" s="16"/>
      <c r="J34" s="35">
        <f>F34*G34+H34*I34</f>
        <v>180.5</v>
      </c>
      <c r="K34" s="16">
        <f>E34/(J34)</f>
        <v>85.42936288088643</v>
      </c>
      <c r="L34" s="3"/>
      <c r="M34" s="26">
        <f>E34+'6-30-22'!M34</f>
        <v>15420</v>
      </c>
      <c r="N34" s="27">
        <f>M34/C34</f>
        <v>0.13408695652173913</v>
      </c>
      <c r="O34" s="35">
        <f>J34+'6-30-22'!O34</f>
        <v>297.5</v>
      </c>
      <c r="P34" s="26">
        <f>M34/O34</f>
        <v>51.831932773109244</v>
      </c>
    </row>
    <row r="35" spans="1:16" ht="15.6" x14ac:dyDescent="0.3">
      <c r="A35" s="3"/>
      <c r="B35" s="3"/>
      <c r="C35" s="3"/>
      <c r="D35" s="3" t="s">
        <v>254</v>
      </c>
      <c r="E35" s="3">
        <v>15420</v>
      </c>
      <c r="F35" s="3"/>
      <c r="G35" s="3"/>
      <c r="H35" s="3"/>
      <c r="I35" s="3"/>
      <c r="J35" s="3"/>
      <c r="K35" s="3"/>
      <c r="L35" s="3"/>
      <c r="M35" s="3"/>
      <c r="N35" s="27"/>
      <c r="O35" s="3"/>
      <c r="P35" s="3"/>
    </row>
    <row r="36" spans="1:16" ht="15.6" x14ac:dyDescent="0.3">
      <c r="A36" s="3"/>
      <c r="B36" s="8" t="s">
        <v>49</v>
      </c>
      <c r="C36" s="8">
        <v>8</v>
      </c>
      <c r="D36" s="8"/>
      <c r="E36" s="8"/>
      <c r="F36" s="8"/>
      <c r="G36" s="35"/>
      <c r="H36" s="8"/>
      <c r="I36" s="16"/>
      <c r="J36" s="35">
        <f>F36*G36+H36*I36</f>
        <v>0</v>
      </c>
      <c r="K36" s="16" t="e">
        <f>E36/(J36)</f>
        <v>#DIV/0!</v>
      </c>
      <c r="L36" s="3"/>
      <c r="M36" s="26">
        <f>E36+'6-30-22'!M36</f>
        <v>8</v>
      </c>
      <c r="N36" s="27">
        <f>M36/C36</f>
        <v>1</v>
      </c>
      <c r="O36" s="35">
        <f>J36+'6-30-22'!O36</f>
        <v>69</v>
      </c>
      <c r="P36" s="26">
        <f>M36/O36</f>
        <v>0.11594202898550725</v>
      </c>
    </row>
    <row r="37" spans="1:16" ht="15.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27"/>
      <c r="O37" s="3"/>
      <c r="P37" s="3"/>
    </row>
    <row r="38" spans="1:16" ht="15.6" x14ac:dyDescent="0.3">
      <c r="A38" s="3"/>
      <c r="B38" s="8" t="s">
        <v>50</v>
      </c>
      <c r="C38" s="8">
        <f>2760+480</f>
        <v>3240</v>
      </c>
      <c r="D38" s="8"/>
      <c r="E38" s="8"/>
      <c r="F38" s="8"/>
      <c r="G38" s="35"/>
      <c r="H38" s="8"/>
      <c r="I38" s="16"/>
      <c r="J38" s="35">
        <f>F38*G38+H38*I38</f>
        <v>0</v>
      </c>
      <c r="K38" s="16" t="e">
        <f>E38/(J38)</f>
        <v>#DIV/0!</v>
      </c>
      <c r="L38" s="3"/>
      <c r="M38" s="26">
        <f>E38+'6-30-22'!M38</f>
        <v>1635</v>
      </c>
      <c r="N38" s="27">
        <f>M38/C38</f>
        <v>0.50462962962962965</v>
      </c>
      <c r="O38" s="35">
        <f>J38+'6-30-22'!O38</f>
        <v>72</v>
      </c>
      <c r="P38" s="26">
        <f>M38/O38</f>
        <v>22.708333333333332</v>
      </c>
    </row>
    <row r="39" spans="1:16" ht="15.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7"/>
      <c r="O39" s="3"/>
      <c r="P39" s="3"/>
    </row>
    <row r="40" spans="1:16" ht="15.6" x14ac:dyDescent="0.3">
      <c r="A40" s="3"/>
      <c r="B40" s="8" t="s">
        <v>115</v>
      </c>
      <c r="C40" s="8">
        <v>123</v>
      </c>
      <c r="D40" s="8"/>
      <c r="E40" s="8"/>
      <c r="F40" s="8"/>
      <c r="G40" s="35"/>
      <c r="H40" s="8"/>
      <c r="I40" s="16"/>
      <c r="J40" s="35">
        <f>F40*G40+H40*I40</f>
        <v>0</v>
      </c>
      <c r="K40" s="16" t="e">
        <f>E40/(J40)</f>
        <v>#DIV/0!</v>
      </c>
      <c r="L40" s="3"/>
      <c r="M40" s="26">
        <f>E40+'6-30-22'!M40</f>
        <v>0</v>
      </c>
      <c r="N40" s="27">
        <f>M40/C40</f>
        <v>0</v>
      </c>
      <c r="O40" s="35">
        <f>J40+'6-30-22'!O40</f>
        <v>0</v>
      </c>
      <c r="P40" s="35" t="e">
        <f>M40/O40</f>
        <v>#DIV/0!</v>
      </c>
    </row>
    <row r="41" spans="1:16" ht="15.6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27"/>
      <c r="O41" s="3"/>
      <c r="P41" s="3"/>
    </row>
    <row r="42" spans="1:16" ht="15.6" x14ac:dyDescent="0.3">
      <c r="A42" s="3"/>
      <c r="B42" s="8" t="s">
        <v>113</v>
      </c>
      <c r="C42" s="8" t="s">
        <v>52</v>
      </c>
      <c r="D42" s="8"/>
      <c r="E42" s="8"/>
      <c r="F42" s="8"/>
      <c r="G42" s="35"/>
      <c r="H42" s="8"/>
      <c r="I42" s="16"/>
      <c r="J42" s="35">
        <f>F42*G42+H42*I42</f>
        <v>0</v>
      </c>
      <c r="K42" s="16" t="e">
        <f>E42/(J42)</f>
        <v>#DIV/0!</v>
      </c>
      <c r="L42" s="3"/>
      <c r="M42" s="26">
        <f>E42+'6-30-22'!M42</f>
        <v>0</v>
      </c>
      <c r="N42" s="53" t="e">
        <f>M42/C42</f>
        <v>#VALUE!</v>
      </c>
      <c r="O42" s="35">
        <f>J42+'6-30-22'!O42</f>
        <v>0</v>
      </c>
      <c r="P42" s="35" t="e">
        <f>M42/O42</f>
        <v>#DIV/0!</v>
      </c>
    </row>
    <row r="43" spans="1:16" ht="15.6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27"/>
      <c r="O43" s="3"/>
      <c r="P43" s="3"/>
    </row>
    <row r="44" spans="1:16" ht="15.6" x14ac:dyDescent="0.3">
      <c r="A44" s="3"/>
      <c r="B44" s="8" t="s">
        <v>114</v>
      </c>
      <c r="C44" s="8" t="s">
        <v>52</v>
      </c>
      <c r="D44" s="8"/>
      <c r="E44" s="8"/>
      <c r="F44" s="8"/>
      <c r="G44" s="35"/>
      <c r="H44" s="8"/>
      <c r="I44" s="16"/>
      <c r="J44" s="35">
        <f>F44*G44+H44*I44</f>
        <v>0</v>
      </c>
      <c r="K44" s="16" t="e">
        <f>E44/(J44)</f>
        <v>#DIV/0!</v>
      </c>
      <c r="L44" s="3"/>
      <c r="M44" s="26" t="e">
        <f>E44+'6-30-22'!M44</f>
        <v>#VALUE!</v>
      </c>
      <c r="N44" s="53" t="e">
        <f>M44/C44</f>
        <v>#VALUE!</v>
      </c>
      <c r="O44" s="35">
        <f>J44+'6-30-22'!O44</f>
        <v>99</v>
      </c>
      <c r="P44" s="26" t="e">
        <f>M44/O44</f>
        <v>#VALUE!</v>
      </c>
    </row>
    <row r="45" spans="1:16" ht="15.6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27"/>
      <c r="O45" s="3"/>
      <c r="P45" s="3"/>
    </row>
    <row r="46" spans="1:16" ht="15.6" x14ac:dyDescent="0.3">
      <c r="A46" s="3"/>
      <c r="B46" s="8" t="s">
        <v>75</v>
      </c>
      <c r="C46" s="8"/>
      <c r="D46" s="8"/>
      <c r="E46" s="8"/>
      <c r="F46" s="8"/>
      <c r="G46" s="35"/>
      <c r="H46" s="8"/>
      <c r="I46" s="16"/>
      <c r="J46" s="35">
        <f>F46*G46+H46*I46</f>
        <v>0</v>
      </c>
      <c r="K46" s="16" t="e">
        <f>E46/(J46)</f>
        <v>#DIV/0!</v>
      </c>
      <c r="L46" s="3"/>
      <c r="M46" s="26">
        <f>E46+'6-30-22'!M46</f>
        <v>0</v>
      </c>
      <c r="N46" s="53" t="e">
        <f>M46/C46</f>
        <v>#DIV/0!</v>
      </c>
      <c r="O46" s="35">
        <f>J46+'6-30-22'!O46</f>
        <v>253.5</v>
      </c>
      <c r="P46" s="26">
        <f>M46/O46</f>
        <v>0</v>
      </c>
    </row>
    <row r="47" spans="1:16" ht="15.6" x14ac:dyDescent="0.3">
      <c r="A47" s="3"/>
      <c r="B47" s="3" t="s">
        <v>27</v>
      </c>
      <c r="C47" s="3"/>
      <c r="D47" s="3" t="s">
        <v>52</v>
      </c>
      <c r="E47" s="3"/>
      <c r="F47" s="3"/>
      <c r="G47" s="3"/>
      <c r="H47" s="30"/>
      <c r="I47" s="4"/>
      <c r="J47" s="3">
        <f>J20+J22+J24+J26+J28+J30+J32+J34+J36+J38+J40+J42+J44+J46</f>
        <v>180.5</v>
      </c>
      <c r="K47" s="3"/>
      <c r="L47" s="3"/>
      <c r="M47" s="3"/>
      <c r="N47" s="3"/>
      <c r="O47" s="3">
        <f>O20+O22+O24+O26+O28+O30+O32+O34+O36+O38+O40+O42+O44+O46</f>
        <v>3583</v>
      </c>
      <c r="P47" s="3"/>
    </row>
    <row r="48" spans="1:16" ht="15.6" x14ac:dyDescent="0.3">
      <c r="A48" s="3"/>
      <c r="B48" s="3"/>
      <c r="C48" s="3"/>
      <c r="D48" s="3"/>
      <c r="E48" s="3"/>
      <c r="F48" s="3"/>
      <c r="G48" s="3"/>
      <c r="H48" s="3"/>
      <c r="I48" s="4"/>
      <c r="J48" s="3"/>
      <c r="K48" s="3"/>
      <c r="L48" s="3"/>
      <c r="M48" s="3"/>
      <c r="N48" s="3"/>
      <c r="O48" s="3"/>
      <c r="P48" s="3"/>
    </row>
    <row r="49" spans="1:16" ht="15.6" x14ac:dyDescent="0.3">
      <c r="A49" s="3"/>
      <c r="B49" s="3" t="s">
        <v>28</v>
      </c>
      <c r="C49" s="3" t="s">
        <v>255</v>
      </c>
      <c r="D49" s="3"/>
      <c r="E49" s="3"/>
      <c r="F49" s="3"/>
      <c r="G49" s="3"/>
      <c r="H49" s="3"/>
      <c r="I49" s="4"/>
      <c r="J49" s="3"/>
      <c r="K49" s="3"/>
      <c r="L49" s="3"/>
      <c r="M49" s="3"/>
      <c r="N49" s="3"/>
      <c r="O49" s="3"/>
      <c r="P49" s="3"/>
    </row>
    <row r="50" spans="1:16" ht="15.6" x14ac:dyDescent="0.3">
      <c r="C50" s="33"/>
    </row>
    <row r="51" spans="1:16" ht="15.6" x14ac:dyDescent="0.3">
      <c r="B51" s="3" t="s">
        <v>32</v>
      </c>
      <c r="C51" s="33" t="s">
        <v>256</v>
      </c>
    </row>
    <row r="52" spans="1:16" ht="15.6" x14ac:dyDescent="0.3">
      <c r="C52" s="33"/>
    </row>
    <row r="53" spans="1:16" ht="15.6" x14ac:dyDescent="0.3">
      <c r="B53" s="3" t="s">
        <v>33</v>
      </c>
      <c r="C53" s="3" t="s">
        <v>257</v>
      </c>
    </row>
    <row r="54" spans="1:16" ht="15.6" x14ac:dyDescent="0.3">
      <c r="C54" s="33" t="s">
        <v>258</v>
      </c>
    </row>
    <row r="55" spans="1:16" ht="15.6" x14ac:dyDescent="0.3">
      <c r="C55" s="33" t="s">
        <v>52</v>
      </c>
    </row>
    <row r="57" spans="1:16" x14ac:dyDescent="0.3">
      <c r="C57" t="s">
        <v>52</v>
      </c>
      <c r="D57" t="s">
        <v>52</v>
      </c>
    </row>
    <row r="58" spans="1:16" x14ac:dyDescent="0.3">
      <c r="C58" t="s">
        <v>52</v>
      </c>
      <c r="D58" t="s">
        <v>52</v>
      </c>
    </row>
  </sheetData>
  <mergeCells count="3">
    <mergeCell ref="A1:G1"/>
    <mergeCell ref="H7:I7"/>
    <mergeCell ref="L7:M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32B5A-5103-4BB0-AD3F-5F2DC9B6B82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1A19F-7648-4BB2-B4CD-FEC9D33D3A8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10D52-0B60-42BA-9C45-3CA46A45E3F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F8E91-4CA4-4AF7-AA7C-3F198C2150F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0D11F-59DC-4E56-9399-9CBA81F2625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B91D8-7A1F-47D3-834F-A9B941CA783B}">
  <dimension ref="A1:R58"/>
  <sheetViews>
    <sheetView zoomScale="85" zoomScaleNormal="85" workbookViewId="0">
      <selection activeCell="K11" sqref="K11"/>
    </sheetView>
  </sheetViews>
  <sheetFormatPr defaultRowHeight="14.4" x14ac:dyDescent="0.3"/>
  <cols>
    <col min="1" max="1" width="11.33203125" customWidth="1"/>
    <col min="2" max="2" width="29.33203125" customWidth="1"/>
    <col min="3" max="3" width="22.109375" customWidth="1"/>
    <col min="4" max="4" width="12.6640625" customWidth="1"/>
    <col min="5" max="5" width="14.44140625" customWidth="1"/>
    <col min="6" max="6" width="13.33203125" customWidth="1"/>
    <col min="8" max="8" width="20.44140625" customWidth="1"/>
    <col min="12" max="12" width="13.44140625" customWidth="1"/>
    <col min="13" max="13" width="10.6640625" customWidth="1"/>
    <col min="14" max="14" width="10" bestFit="1" customWidth="1"/>
    <col min="15" max="15" width="10.6640625" customWidth="1"/>
    <col min="18" max="18" width="9.6640625" bestFit="1" customWidth="1"/>
  </cols>
  <sheetData>
    <row r="1" spans="1:18" ht="18" x14ac:dyDescent="0.35">
      <c r="A1" s="66" t="s">
        <v>0</v>
      </c>
      <c r="B1" s="66"/>
      <c r="C1" s="66"/>
      <c r="D1" s="66"/>
      <c r="E1" s="66"/>
      <c r="F1" s="66"/>
      <c r="G1" s="66"/>
      <c r="H1" s="1"/>
      <c r="I1" s="2"/>
      <c r="J1" s="1"/>
      <c r="K1" s="1"/>
      <c r="L1" s="1"/>
      <c r="M1" s="1"/>
      <c r="N1" s="1"/>
      <c r="O1" s="1"/>
      <c r="P1" s="1"/>
    </row>
    <row r="2" spans="1:18" ht="15.6" x14ac:dyDescent="0.3">
      <c r="A2" s="3"/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</row>
    <row r="3" spans="1:18" ht="15.6" x14ac:dyDescent="0.3">
      <c r="A3" s="3"/>
      <c r="B3" s="5" t="s">
        <v>1</v>
      </c>
      <c r="C3" s="6" t="s">
        <v>43</v>
      </c>
      <c r="D3" s="7"/>
      <c r="E3" s="3"/>
      <c r="F3" s="5" t="s">
        <v>2</v>
      </c>
      <c r="G3" s="8">
        <v>4355</v>
      </c>
      <c r="H3" s="34" t="s">
        <v>41</v>
      </c>
      <c r="I3" s="35">
        <v>49</v>
      </c>
      <c r="J3" s="3"/>
      <c r="K3" s="3"/>
      <c r="L3" s="3"/>
      <c r="N3" s="3" t="s">
        <v>163</v>
      </c>
      <c r="O3" s="3"/>
      <c r="P3" s="3"/>
      <c r="Q3" s="61" t="s">
        <v>196</v>
      </c>
      <c r="R3" s="62">
        <v>44702</v>
      </c>
    </row>
    <row r="4" spans="1:18" ht="15.6" x14ac:dyDescent="0.3">
      <c r="A4" s="3"/>
      <c r="B4" s="5" t="s">
        <v>3</v>
      </c>
      <c r="C4" s="37">
        <v>300155</v>
      </c>
      <c r="D4" s="7"/>
      <c r="E4" s="3"/>
      <c r="F4" s="5" t="s">
        <v>4</v>
      </c>
      <c r="G4" s="56">
        <f>N16+'6-30-22'!G4</f>
        <v>3483.5</v>
      </c>
      <c r="H4" s="34" t="s">
        <v>42</v>
      </c>
      <c r="I4" s="16">
        <v>47</v>
      </c>
      <c r="J4" s="58"/>
      <c r="K4" s="3"/>
      <c r="L4" s="3"/>
      <c r="M4" s="3"/>
      <c r="N4" s="3"/>
      <c r="O4" s="3"/>
      <c r="P4" s="3" t="s">
        <v>52</v>
      </c>
      <c r="Q4" s="61" t="s">
        <v>196</v>
      </c>
      <c r="R4" s="62">
        <v>44732</v>
      </c>
    </row>
    <row r="5" spans="1:18" ht="15.6" x14ac:dyDescent="0.3">
      <c r="A5" s="3"/>
      <c r="B5" s="5" t="s">
        <v>5</v>
      </c>
      <c r="C5" s="38">
        <v>44743</v>
      </c>
      <c r="D5" s="3"/>
      <c r="E5" s="3"/>
      <c r="F5" s="3"/>
      <c r="G5" s="59">
        <f>G4/G3</f>
        <v>0.79988518943742826</v>
      </c>
      <c r="H5" s="3"/>
      <c r="I5" s="60">
        <f>I4/I3</f>
        <v>0.95918367346938771</v>
      </c>
      <c r="J5" s="3"/>
      <c r="K5" s="3"/>
      <c r="L5" s="3"/>
      <c r="M5" s="3"/>
      <c r="N5" s="3"/>
      <c r="O5" s="3"/>
      <c r="P5" s="3"/>
      <c r="Q5" s="61"/>
      <c r="R5" s="61"/>
    </row>
    <row r="6" spans="1:18" ht="15.6" x14ac:dyDescent="0.3">
      <c r="A6" s="3"/>
      <c r="B6" s="5"/>
      <c r="C6" s="3"/>
      <c r="D6" s="3"/>
      <c r="E6" s="3"/>
      <c r="F6" s="3"/>
      <c r="G6" s="3"/>
      <c r="H6" s="3"/>
      <c r="I6" s="4"/>
      <c r="J6" s="3"/>
      <c r="K6" s="30"/>
      <c r="L6" s="3"/>
      <c r="M6" s="3"/>
      <c r="N6" s="3"/>
      <c r="O6" s="3"/>
      <c r="P6" s="3"/>
      <c r="Q6" s="61"/>
      <c r="R6" s="61"/>
    </row>
    <row r="7" spans="1:18" ht="15.6" x14ac:dyDescent="0.3">
      <c r="A7" s="10" t="s">
        <v>6</v>
      </c>
      <c r="B7" s="11"/>
      <c r="C7" s="12" t="s">
        <v>7</v>
      </c>
      <c r="D7" s="3"/>
      <c r="E7" s="12" t="s">
        <v>8</v>
      </c>
      <c r="F7" s="12" t="s">
        <v>34</v>
      </c>
      <c r="G7" s="3"/>
      <c r="H7" s="67" t="s">
        <v>7</v>
      </c>
      <c r="I7" s="67"/>
      <c r="J7" s="12" t="s">
        <v>8</v>
      </c>
      <c r="K7" s="3"/>
      <c r="L7" s="67" t="s">
        <v>7</v>
      </c>
      <c r="M7" s="67"/>
      <c r="N7" s="12" t="s">
        <v>8</v>
      </c>
      <c r="O7" s="12" t="s">
        <v>34</v>
      </c>
      <c r="P7" s="3"/>
      <c r="Q7" s="61"/>
      <c r="R7" s="61"/>
    </row>
    <row r="8" spans="1:18" ht="15.6" x14ac:dyDescent="0.3">
      <c r="A8" s="13">
        <v>1</v>
      </c>
      <c r="B8" s="5" t="s">
        <v>9</v>
      </c>
      <c r="C8" s="14" t="s">
        <v>35</v>
      </c>
      <c r="D8" s="15"/>
      <c r="E8" s="35">
        <v>9</v>
      </c>
      <c r="F8" s="16">
        <v>66</v>
      </c>
      <c r="G8" s="11">
        <v>9</v>
      </c>
      <c r="H8" s="14" t="s">
        <v>40</v>
      </c>
      <c r="I8" s="8"/>
      <c r="J8" s="35">
        <v>9</v>
      </c>
      <c r="K8" s="11">
        <v>17</v>
      </c>
      <c r="L8" s="63" t="s">
        <v>239</v>
      </c>
      <c r="M8" s="8"/>
      <c r="N8" s="35"/>
      <c r="O8" s="16">
        <v>83</v>
      </c>
      <c r="P8" s="3"/>
      <c r="Q8" s="61"/>
      <c r="R8" s="61"/>
    </row>
    <row r="9" spans="1:18" ht="15.6" x14ac:dyDescent="0.3">
      <c r="A9" s="13">
        <v>2</v>
      </c>
      <c r="B9" s="5" t="s">
        <v>10</v>
      </c>
      <c r="C9" s="14" t="s">
        <v>37</v>
      </c>
      <c r="D9" s="8"/>
      <c r="E9" s="35">
        <v>9</v>
      </c>
      <c r="F9" s="16"/>
      <c r="G9" s="11">
        <v>10</v>
      </c>
      <c r="H9" s="64" t="s">
        <v>232</v>
      </c>
      <c r="I9" s="8"/>
      <c r="J9" s="39"/>
      <c r="K9" s="11">
        <v>18</v>
      </c>
      <c r="L9" s="63" t="s">
        <v>229</v>
      </c>
      <c r="M9" s="8"/>
      <c r="N9" s="39"/>
      <c r="O9" s="16">
        <v>84</v>
      </c>
      <c r="P9" s="3"/>
      <c r="Q9" s="61"/>
      <c r="R9" s="61"/>
    </row>
    <row r="10" spans="1:18" ht="15.6" x14ac:dyDescent="0.3">
      <c r="A10" s="13">
        <v>3</v>
      </c>
      <c r="B10" s="5" t="s">
        <v>11</v>
      </c>
      <c r="C10" s="14" t="s">
        <v>36</v>
      </c>
      <c r="D10" s="8"/>
      <c r="E10" s="35">
        <v>9</v>
      </c>
      <c r="F10" s="16">
        <v>78</v>
      </c>
      <c r="G10" s="11">
        <v>11</v>
      </c>
      <c r="H10" s="64" t="s">
        <v>233</v>
      </c>
      <c r="I10" s="8"/>
      <c r="J10" s="39"/>
      <c r="K10" s="11">
        <v>19</v>
      </c>
      <c r="L10" s="63" t="s">
        <v>230</v>
      </c>
      <c r="M10" s="8"/>
      <c r="N10" s="39"/>
      <c r="O10" s="16">
        <v>81</v>
      </c>
      <c r="P10" s="3"/>
      <c r="Q10" s="61"/>
      <c r="R10" s="61"/>
    </row>
    <row r="11" spans="1:18" ht="15.6" x14ac:dyDescent="0.3">
      <c r="A11" s="13">
        <v>4</v>
      </c>
      <c r="B11" s="5" t="s">
        <v>12</v>
      </c>
      <c r="C11" s="14" t="s">
        <v>29</v>
      </c>
      <c r="D11" s="8"/>
      <c r="E11" s="35">
        <v>9</v>
      </c>
      <c r="F11" s="16"/>
      <c r="G11" s="11">
        <v>12</v>
      </c>
      <c r="H11" s="64" t="s">
        <v>234</v>
      </c>
      <c r="I11" s="8"/>
      <c r="J11" s="39"/>
      <c r="K11" s="11">
        <v>20</v>
      </c>
      <c r="L11" s="63" t="s">
        <v>231</v>
      </c>
      <c r="M11" s="8"/>
      <c r="N11" s="39"/>
      <c r="O11" s="16">
        <v>79</v>
      </c>
      <c r="P11" s="3"/>
      <c r="Q11" s="61"/>
      <c r="R11" s="61"/>
    </row>
    <row r="12" spans="1:18" ht="15.6" x14ac:dyDescent="0.3">
      <c r="A12" s="13">
        <v>5</v>
      </c>
      <c r="B12" s="3"/>
      <c r="C12" s="31" t="s">
        <v>30</v>
      </c>
      <c r="D12" s="8"/>
      <c r="E12" s="35">
        <v>9</v>
      </c>
      <c r="F12" s="16"/>
      <c r="G12" s="11">
        <v>13</v>
      </c>
      <c r="H12" s="64" t="s">
        <v>235</v>
      </c>
      <c r="I12" s="8"/>
      <c r="J12" s="39"/>
      <c r="K12" s="11">
        <v>21</v>
      </c>
      <c r="L12" s="64" t="s">
        <v>240</v>
      </c>
      <c r="M12" s="8"/>
      <c r="N12" s="39"/>
      <c r="O12" s="16"/>
      <c r="P12" s="3"/>
    </row>
    <row r="13" spans="1:18" ht="15.6" x14ac:dyDescent="0.3">
      <c r="A13" s="13">
        <v>6</v>
      </c>
      <c r="B13" s="3"/>
      <c r="C13" s="14" t="s">
        <v>31</v>
      </c>
      <c r="D13" s="8"/>
      <c r="E13" s="35">
        <v>9</v>
      </c>
      <c r="F13" s="16">
        <v>74</v>
      </c>
      <c r="G13" s="11">
        <v>14</v>
      </c>
      <c r="H13" s="63" t="s">
        <v>236</v>
      </c>
      <c r="I13" s="8"/>
      <c r="J13" s="39"/>
      <c r="K13" s="11">
        <v>22</v>
      </c>
      <c r="L13" s="18"/>
      <c r="M13" s="8"/>
      <c r="N13" s="39"/>
      <c r="O13" s="16" t="s">
        <v>52</v>
      </c>
      <c r="P13" s="3"/>
    </row>
    <row r="14" spans="1:18" ht="15.6" x14ac:dyDescent="0.3">
      <c r="A14" s="13">
        <v>7</v>
      </c>
      <c r="B14" s="5" t="s">
        <v>52</v>
      </c>
      <c r="C14" s="14" t="s">
        <v>39</v>
      </c>
      <c r="D14" s="8"/>
      <c r="E14" s="35">
        <v>9</v>
      </c>
      <c r="F14" s="16"/>
      <c r="G14" s="11">
        <v>15</v>
      </c>
      <c r="H14" s="64" t="s">
        <v>237</v>
      </c>
      <c r="I14" s="8"/>
      <c r="J14" s="39"/>
      <c r="K14" s="11">
        <v>23</v>
      </c>
      <c r="L14" s="3"/>
      <c r="M14" s="8"/>
      <c r="N14" s="39"/>
      <c r="O14" s="16"/>
      <c r="P14" s="3"/>
    </row>
    <row r="15" spans="1:18" ht="15.6" x14ac:dyDescent="0.3">
      <c r="A15" s="13">
        <v>8</v>
      </c>
      <c r="B15" s="3"/>
      <c r="C15" s="14" t="s">
        <v>38</v>
      </c>
      <c r="D15" s="8"/>
      <c r="E15" s="35">
        <v>9</v>
      </c>
      <c r="F15" s="16"/>
      <c r="G15" s="11">
        <v>16</v>
      </c>
      <c r="H15" s="64" t="s">
        <v>238</v>
      </c>
      <c r="I15" s="8"/>
      <c r="J15" s="35"/>
      <c r="K15" s="11">
        <v>24</v>
      </c>
      <c r="L15" s="3"/>
      <c r="M15" s="8"/>
      <c r="N15" s="39"/>
      <c r="O15" s="16"/>
      <c r="P15" s="3"/>
    </row>
    <row r="16" spans="1:18" ht="15.6" x14ac:dyDescent="0.3">
      <c r="A16" s="3"/>
      <c r="B16" s="3"/>
      <c r="C16" s="3"/>
      <c r="D16" s="3"/>
      <c r="E16" s="3"/>
      <c r="F16" s="3"/>
      <c r="G16" s="13"/>
      <c r="H16" s="7"/>
      <c r="I16" s="3"/>
      <c r="J16" s="3"/>
      <c r="K16" s="13"/>
      <c r="L16" s="7" t="s">
        <v>13</v>
      </c>
      <c r="M16" s="3"/>
      <c r="N16" s="8">
        <f>E8+E9+E10+E11+E12+E13+E14+E15+J8+J9+J10+J11+J12+J13+J14+J15+N8+N9+N10+N11+N12+N13+N14+N15</f>
        <v>81</v>
      </c>
      <c r="O16" s="3"/>
      <c r="P16" s="3"/>
    </row>
    <row r="17" spans="1:16" ht="15.6" x14ac:dyDescent="0.3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  <c r="L17" s="3"/>
      <c r="M17" s="3"/>
      <c r="N17" s="3"/>
      <c r="O17" s="3"/>
      <c r="P17" s="3"/>
    </row>
    <row r="18" spans="1:16" ht="93.6" x14ac:dyDescent="0.3">
      <c r="A18" s="19"/>
      <c r="B18" s="20" t="s">
        <v>14</v>
      </c>
      <c r="C18" s="21" t="s">
        <v>15</v>
      </c>
      <c r="D18" s="22" t="s">
        <v>16</v>
      </c>
      <c r="E18" s="22" t="s">
        <v>17</v>
      </c>
      <c r="F18" s="22" t="s">
        <v>18</v>
      </c>
      <c r="G18" s="22" t="s">
        <v>19</v>
      </c>
      <c r="H18" s="22" t="s">
        <v>18</v>
      </c>
      <c r="I18" s="22" t="s">
        <v>19</v>
      </c>
      <c r="J18" s="22" t="s">
        <v>20</v>
      </c>
      <c r="K18" s="23" t="s">
        <v>21</v>
      </c>
      <c r="L18" s="24"/>
      <c r="M18" s="23" t="s">
        <v>22</v>
      </c>
      <c r="N18" s="23" t="s">
        <v>23</v>
      </c>
      <c r="O18" s="23" t="s">
        <v>24</v>
      </c>
      <c r="P18" s="23" t="s">
        <v>25</v>
      </c>
    </row>
    <row r="19" spans="1:16" ht="15.6" x14ac:dyDescent="0.3">
      <c r="A19" s="19"/>
      <c r="B19" s="19"/>
      <c r="C19" s="24"/>
      <c r="D19" s="24"/>
      <c r="E19" s="24"/>
      <c r="F19" s="24"/>
      <c r="G19" s="24"/>
      <c r="H19" s="24"/>
      <c r="I19" s="24"/>
      <c r="J19" s="24"/>
      <c r="K19" s="25"/>
      <c r="L19" s="24"/>
      <c r="M19" s="3"/>
      <c r="N19" s="3"/>
      <c r="O19" s="3"/>
      <c r="P19" s="3"/>
    </row>
    <row r="20" spans="1:16" ht="15.6" x14ac:dyDescent="0.3">
      <c r="A20" s="3"/>
      <c r="B20" s="8" t="s">
        <v>26</v>
      </c>
      <c r="C20" s="8">
        <v>1</v>
      </c>
      <c r="D20" s="8">
        <v>1</v>
      </c>
      <c r="E20" s="8"/>
      <c r="F20" s="8"/>
      <c r="G20" s="35">
        <v>0</v>
      </c>
      <c r="H20" s="8"/>
      <c r="I20" s="16"/>
      <c r="J20" s="35">
        <f>F20*G20+H20*I20</f>
        <v>0</v>
      </c>
      <c r="K20" s="16" t="e">
        <f>E20/(J20)</f>
        <v>#DIV/0!</v>
      </c>
      <c r="L20" s="3"/>
      <c r="M20" s="26">
        <v>0</v>
      </c>
      <c r="N20" s="27">
        <f>M20/C20</f>
        <v>0</v>
      </c>
      <c r="O20" s="35">
        <f>J20+'6-30-22'!O20</f>
        <v>108</v>
      </c>
      <c r="P20" s="26">
        <f>M20/O20</f>
        <v>0</v>
      </c>
    </row>
    <row r="21" spans="1:16" ht="15.6" x14ac:dyDescent="0.3">
      <c r="A21" s="3"/>
      <c r="B21" s="3"/>
      <c r="C21" s="3"/>
      <c r="D21" s="3"/>
      <c r="E21" s="3"/>
      <c r="F21" s="3"/>
      <c r="G21" s="40"/>
      <c r="H21" s="3"/>
      <c r="I21" s="28"/>
      <c r="J21" s="40"/>
      <c r="K21" s="28"/>
      <c r="L21" s="3"/>
      <c r="M21" s="29"/>
      <c r="N21" s="3"/>
      <c r="O21" s="3"/>
      <c r="P21" s="3"/>
    </row>
    <row r="22" spans="1:16" ht="15.6" x14ac:dyDescent="0.3">
      <c r="A22" s="3"/>
      <c r="B22" s="8" t="s">
        <v>53</v>
      </c>
      <c r="C22" s="8">
        <v>125400</v>
      </c>
      <c r="D22" s="41"/>
      <c r="E22" s="41"/>
      <c r="F22" s="8"/>
      <c r="G22" s="35"/>
      <c r="H22" s="8"/>
      <c r="I22" s="16"/>
      <c r="J22" s="35">
        <f>F22*G22+H22*I22</f>
        <v>0</v>
      </c>
      <c r="K22" s="16" t="e">
        <f>E22/(J22)</f>
        <v>#DIV/0!</v>
      </c>
      <c r="L22" s="3"/>
      <c r="M22" s="26">
        <f>E22+'6-30-22'!M22</f>
        <v>125400</v>
      </c>
      <c r="N22" s="27">
        <f>M22/C22</f>
        <v>1</v>
      </c>
      <c r="O22" s="35">
        <f>J22+'6-30-22'!O22</f>
        <v>679.75</v>
      </c>
      <c r="P22" s="26">
        <f>M22/O22</f>
        <v>184.47958808385437</v>
      </c>
    </row>
    <row r="23" spans="1:16" ht="15.6" x14ac:dyDescent="0.3">
      <c r="A23" s="3"/>
      <c r="B23" s="3"/>
      <c r="C23" s="3"/>
      <c r="D23" s="3"/>
      <c r="E23" s="3"/>
      <c r="F23" s="3"/>
      <c r="G23" s="40"/>
      <c r="H23" s="3"/>
      <c r="I23" s="28"/>
      <c r="J23" s="40"/>
      <c r="K23" s="28"/>
      <c r="L23" s="3"/>
      <c r="M23" s="29"/>
      <c r="N23" s="3"/>
      <c r="O23" s="36"/>
      <c r="P23" s="29"/>
    </row>
    <row r="24" spans="1:16" ht="15.6" x14ac:dyDescent="0.3">
      <c r="A24" s="3"/>
      <c r="B24" s="8" t="s">
        <v>54</v>
      </c>
      <c r="C24" s="8">
        <v>125400</v>
      </c>
      <c r="D24" s="8"/>
      <c r="E24" s="8"/>
      <c r="F24" s="8"/>
      <c r="G24" s="35"/>
      <c r="H24" s="8"/>
      <c r="I24" s="16"/>
      <c r="J24" s="35">
        <f>F24*G24+H24*I24</f>
        <v>0</v>
      </c>
      <c r="K24" s="16" t="e">
        <f>E24/(J24)</f>
        <v>#DIV/0!</v>
      </c>
      <c r="L24" s="3"/>
      <c r="M24" s="26">
        <f>E24+'6-30-22'!M24</f>
        <v>125400</v>
      </c>
      <c r="N24" s="27">
        <f>M24/C24</f>
        <v>1</v>
      </c>
      <c r="O24" s="35">
        <f>J24+'6-30-22'!O24</f>
        <v>449.75</v>
      </c>
      <c r="P24" s="26">
        <f>M24/O24</f>
        <v>278.82156753752082</v>
      </c>
    </row>
    <row r="25" spans="1:16" ht="15.6" x14ac:dyDescent="0.3">
      <c r="A25" s="3"/>
      <c r="B25" s="3"/>
      <c r="C25" s="3"/>
      <c r="D25" s="3"/>
      <c r="E25" s="3"/>
      <c r="F25" s="3"/>
      <c r="G25" s="36"/>
      <c r="H25" s="3"/>
      <c r="I25" s="4"/>
      <c r="J25" s="36"/>
      <c r="K25" s="4"/>
      <c r="L25" s="3"/>
      <c r="M25" s="29"/>
      <c r="N25" s="3"/>
      <c r="O25" s="3"/>
      <c r="P25" s="3"/>
    </row>
    <row r="26" spans="1:16" ht="15.6" x14ac:dyDescent="0.3">
      <c r="A26" s="3"/>
      <c r="B26" s="8" t="s">
        <v>44</v>
      </c>
      <c r="C26" s="8">
        <v>3040</v>
      </c>
      <c r="D26" s="8"/>
      <c r="E26" s="8"/>
      <c r="F26" s="8"/>
      <c r="G26" s="35"/>
      <c r="H26" s="8"/>
      <c r="I26" s="16"/>
      <c r="J26" s="35">
        <f>F26*G26+H26*I26</f>
        <v>0</v>
      </c>
      <c r="K26" s="16" t="e">
        <f>E26/(J26)</f>
        <v>#DIV/0!</v>
      </c>
      <c r="L26" s="3"/>
      <c r="M26" s="26">
        <f>E26+'6-30-22'!M26</f>
        <v>3040</v>
      </c>
      <c r="N26" s="27">
        <f>M26/C26</f>
        <v>1</v>
      </c>
      <c r="O26" s="35">
        <f>J26+'6-30-22'!O26</f>
        <v>121.25</v>
      </c>
      <c r="P26" s="26">
        <f>M26/O26</f>
        <v>25.072164948453608</v>
      </c>
    </row>
    <row r="27" spans="1:16" ht="15.6" x14ac:dyDescent="0.3">
      <c r="A27" s="3"/>
      <c r="B27" s="3"/>
      <c r="C27" s="3"/>
      <c r="D27" s="3"/>
      <c r="E27" s="3"/>
      <c r="F27" s="3"/>
      <c r="G27" s="36"/>
      <c r="H27" s="3"/>
      <c r="I27" s="4"/>
      <c r="J27" s="36"/>
      <c r="K27" s="4"/>
      <c r="L27" s="3"/>
      <c r="M27" s="29"/>
      <c r="N27" s="3"/>
      <c r="O27" s="3"/>
      <c r="P27" s="3"/>
    </row>
    <row r="28" spans="1:16" ht="15.6" x14ac:dyDescent="0.3">
      <c r="A28" s="3"/>
      <c r="B28" s="8" t="s">
        <v>45</v>
      </c>
      <c r="C28" s="8">
        <v>3040</v>
      </c>
      <c r="D28" s="8"/>
      <c r="E28" s="8"/>
      <c r="F28" s="8"/>
      <c r="G28" s="35"/>
      <c r="H28" s="8"/>
      <c r="I28" s="35"/>
      <c r="J28" s="35">
        <f>F28*G28+H28*I28</f>
        <v>0</v>
      </c>
      <c r="K28" s="16" t="e">
        <f>E28/(J28)</f>
        <v>#DIV/0!</v>
      </c>
      <c r="L28" s="3"/>
      <c r="M28" s="26">
        <f>E28+'6-30-22'!M28</f>
        <v>2362</v>
      </c>
      <c r="N28" s="27">
        <f>M28/C28</f>
        <v>0.77697368421052626</v>
      </c>
      <c r="O28" s="35">
        <f>J28+'6-30-22'!O28</f>
        <v>621.25</v>
      </c>
      <c r="P28" s="26">
        <f>M28/O28</f>
        <v>3.8020120724346076</v>
      </c>
    </row>
    <row r="29" spans="1:16" ht="15.6" x14ac:dyDescent="0.3">
      <c r="A29" s="3"/>
      <c r="B29" s="3"/>
      <c r="C29" s="3"/>
      <c r="D29" s="3"/>
      <c r="E29" s="3"/>
      <c r="F29" s="3"/>
      <c r="G29" s="36"/>
      <c r="H29" s="3"/>
      <c r="I29" s="4"/>
      <c r="J29" s="36"/>
      <c r="K29" s="4"/>
      <c r="L29" s="3"/>
      <c r="M29" s="29"/>
      <c r="N29" s="3"/>
      <c r="O29" s="3"/>
      <c r="P29" s="3"/>
    </row>
    <row r="30" spans="1:16" ht="15.6" x14ac:dyDescent="0.3">
      <c r="A30" s="3"/>
      <c r="B30" s="8" t="s">
        <v>47</v>
      </c>
      <c r="C30" s="8">
        <v>123400</v>
      </c>
      <c r="D30" s="8"/>
      <c r="E30" s="8"/>
      <c r="F30" s="8"/>
      <c r="G30" s="35"/>
      <c r="H30" s="8"/>
      <c r="I30" s="35"/>
      <c r="J30" s="35">
        <f>F30*G30+H30*I30</f>
        <v>0</v>
      </c>
      <c r="K30" s="16" t="e">
        <f>E30/(J30)</f>
        <v>#DIV/0!</v>
      </c>
      <c r="L30" s="3"/>
      <c r="M30" s="26">
        <f>E30+'6-30-22'!M30</f>
        <v>123400</v>
      </c>
      <c r="N30" s="27">
        <f>M30/C30</f>
        <v>1</v>
      </c>
      <c r="O30" s="35">
        <f>J30+'6-30-22'!O30</f>
        <v>645.5</v>
      </c>
      <c r="P30" s="26">
        <f>M30/O30</f>
        <v>191.16963594113091</v>
      </c>
    </row>
    <row r="31" spans="1:16" ht="15.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7"/>
      <c r="O31" s="3"/>
      <c r="P31" s="3"/>
    </row>
    <row r="32" spans="1:16" ht="15.6" x14ac:dyDescent="0.3">
      <c r="A32" s="3"/>
      <c r="B32" s="8" t="s">
        <v>46</v>
      </c>
      <c r="C32" s="8">
        <v>303</v>
      </c>
      <c r="D32" s="8"/>
      <c r="E32" s="8"/>
      <c r="F32" s="8"/>
      <c r="G32" s="35"/>
      <c r="H32" s="8"/>
      <c r="I32" s="16"/>
      <c r="J32" s="35">
        <f>F32*G32+H32*I32</f>
        <v>0</v>
      </c>
      <c r="K32" s="16" t="e">
        <f>E32/(J32)</f>
        <v>#DIV/0!</v>
      </c>
      <c r="L32" s="3"/>
      <c r="M32" s="26">
        <f>E32+'6-30-22'!M32</f>
        <v>303</v>
      </c>
      <c r="N32" s="27">
        <f>M32/C32</f>
        <v>1</v>
      </c>
      <c r="O32" s="35">
        <f>J32+'6-30-22'!O32</f>
        <v>166.5</v>
      </c>
      <c r="P32" s="26">
        <f>M32/O32</f>
        <v>1.8198198198198199</v>
      </c>
    </row>
    <row r="33" spans="1:16" ht="15.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7"/>
      <c r="O33" s="3"/>
      <c r="P33" s="3"/>
    </row>
    <row r="34" spans="1:16" ht="15.6" x14ac:dyDescent="0.3">
      <c r="A34" s="3"/>
      <c r="B34" s="8" t="s">
        <v>48</v>
      </c>
      <c r="C34" s="8">
        <v>115000</v>
      </c>
      <c r="D34" s="8"/>
      <c r="E34" s="8" t="s">
        <v>246</v>
      </c>
      <c r="F34" s="8">
        <v>9</v>
      </c>
      <c r="G34" s="35">
        <v>9</v>
      </c>
      <c r="H34" s="8"/>
      <c r="I34" s="16"/>
      <c r="J34" s="35">
        <f>F34*G34+H34*I34</f>
        <v>81</v>
      </c>
      <c r="K34" s="16" t="e">
        <f>E34/(J34)</f>
        <v>#VALUE!</v>
      </c>
      <c r="L34" s="3"/>
      <c r="M34" s="26" t="e">
        <f>E34+'6-30-22'!M34</f>
        <v>#VALUE!</v>
      </c>
      <c r="N34" s="27" t="e">
        <f>M34/C34</f>
        <v>#VALUE!</v>
      </c>
      <c r="O34" s="35">
        <f>J34+'6-30-22'!O34</f>
        <v>198</v>
      </c>
      <c r="P34" s="26" t="e">
        <f>M34/O34</f>
        <v>#VALUE!</v>
      </c>
    </row>
    <row r="35" spans="1:16" ht="15.6" x14ac:dyDescent="0.3">
      <c r="A35" s="3"/>
      <c r="B35" s="3"/>
      <c r="C35" s="3"/>
      <c r="D35" s="3"/>
      <c r="E35" s="3" t="s">
        <v>247</v>
      </c>
      <c r="F35" s="3"/>
      <c r="G35" s="3"/>
      <c r="H35" s="3"/>
      <c r="I35" s="3"/>
      <c r="J35" s="3"/>
      <c r="K35" s="3"/>
      <c r="L35" s="3"/>
      <c r="M35" s="3"/>
      <c r="N35" s="27"/>
      <c r="O35" s="3"/>
      <c r="P35" s="3"/>
    </row>
    <row r="36" spans="1:16" ht="15.6" x14ac:dyDescent="0.3">
      <c r="A36" s="3"/>
      <c r="B36" s="8" t="s">
        <v>49</v>
      </c>
      <c r="C36" s="8">
        <v>8</v>
      </c>
      <c r="D36" s="8"/>
      <c r="E36" s="8"/>
      <c r="F36" s="8"/>
      <c r="G36" s="35"/>
      <c r="H36" s="8"/>
      <c r="I36" s="16"/>
      <c r="J36" s="35">
        <f>F36*G36+H36*I36</f>
        <v>0</v>
      </c>
      <c r="K36" s="16" t="e">
        <f>E36/(J36)</f>
        <v>#DIV/0!</v>
      </c>
      <c r="L36" s="3"/>
      <c r="M36" s="26">
        <f>E36+'6-30-22'!M36</f>
        <v>8</v>
      </c>
      <c r="N36" s="27">
        <f>M36/C36</f>
        <v>1</v>
      </c>
      <c r="O36" s="35">
        <f>J36+'6-30-22'!O36</f>
        <v>69</v>
      </c>
      <c r="P36" s="26">
        <f>M36/O36</f>
        <v>0.11594202898550725</v>
      </c>
    </row>
    <row r="37" spans="1:16" ht="15.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27"/>
      <c r="O37" s="3"/>
      <c r="P37" s="3"/>
    </row>
    <row r="38" spans="1:16" ht="15.6" x14ac:dyDescent="0.3">
      <c r="A38" s="3"/>
      <c r="B38" s="8" t="s">
        <v>50</v>
      </c>
      <c r="C38" s="8">
        <f>2760+480</f>
        <v>3240</v>
      </c>
      <c r="D38" s="8"/>
      <c r="E38" s="8"/>
      <c r="F38" s="8"/>
      <c r="G38" s="35"/>
      <c r="H38" s="8"/>
      <c r="I38" s="16"/>
      <c r="J38" s="35">
        <f>F38*G38+H38*I38</f>
        <v>0</v>
      </c>
      <c r="K38" s="16" t="e">
        <f>E38/(J38)</f>
        <v>#DIV/0!</v>
      </c>
      <c r="L38" s="3"/>
      <c r="M38" s="26">
        <f>E38+'6-30-22'!M38</f>
        <v>1635</v>
      </c>
      <c r="N38" s="27">
        <f>M38/C38</f>
        <v>0.50462962962962965</v>
      </c>
      <c r="O38" s="35">
        <f>J38+'6-30-22'!O38</f>
        <v>72</v>
      </c>
      <c r="P38" s="26">
        <f>M38/O38</f>
        <v>22.708333333333332</v>
      </c>
    </row>
    <row r="39" spans="1:16" ht="15.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7"/>
      <c r="O39" s="3"/>
      <c r="P39" s="3"/>
    </row>
    <row r="40" spans="1:16" ht="15.6" x14ac:dyDescent="0.3">
      <c r="A40" s="3"/>
      <c r="B40" s="8" t="s">
        <v>115</v>
      </c>
      <c r="C40" s="8">
        <v>123</v>
      </c>
      <c r="D40" s="8"/>
      <c r="E40" s="8"/>
      <c r="F40" s="8"/>
      <c r="G40" s="35"/>
      <c r="H40" s="8"/>
      <c r="I40" s="16"/>
      <c r="J40" s="35">
        <f>F40*G40+H40*I40</f>
        <v>0</v>
      </c>
      <c r="K40" s="16" t="e">
        <f>E40/(J40)</f>
        <v>#DIV/0!</v>
      </c>
      <c r="L40" s="3"/>
      <c r="M40" s="26">
        <f>E40+'6-30-22'!M40</f>
        <v>0</v>
      </c>
      <c r="N40" s="27">
        <f>M40/C40</f>
        <v>0</v>
      </c>
      <c r="O40" s="35">
        <f>J40+'6-30-22'!O40</f>
        <v>0</v>
      </c>
      <c r="P40" s="35" t="e">
        <f>M40/O40</f>
        <v>#DIV/0!</v>
      </c>
    </row>
    <row r="41" spans="1:16" ht="15.6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27"/>
      <c r="O41" s="3"/>
      <c r="P41" s="3"/>
    </row>
    <row r="42" spans="1:16" ht="15.6" x14ac:dyDescent="0.3">
      <c r="A42" s="3"/>
      <c r="B42" s="8" t="s">
        <v>113</v>
      </c>
      <c r="C42" s="8" t="s">
        <v>52</v>
      </c>
      <c r="D42" s="8"/>
      <c r="E42" s="8"/>
      <c r="F42" s="8"/>
      <c r="G42" s="35"/>
      <c r="H42" s="8"/>
      <c r="I42" s="16"/>
      <c r="J42" s="35">
        <f>F42*G42+H42*I42</f>
        <v>0</v>
      </c>
      <c r="K42" s="16" t="e">
        <f>E42/(J42)</f>
        <v>#DIV/0!</v>
      </c>
      <c r="L42" s="3"/>
      <c r="M42" s="26">
        <f>E42+'6-30-22'!M42</f>
        <v>0</v>
      </c>
      <c r="N42" s="53" t="e">
        <f>M42/C42</f>
        <v>#VALUE!</v>
      </c>
      <c r="O42" s="35">
        <f>J42+'6-30-22'!O42</f>
        <v>0</v>
      </c>
      <c r="P42" s="35" t="e">
        <f>M42/O42</f>
        <v>#DIV/0!</v>
      </c>
    </row>
    <row r="43" spans="1:16" ht="15.6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27"/>
      <c r="O43" s="3"/>
      <c r="P43" s="3"/>
    </row>
    <row r="44" spans="1:16" ht="15.6" x14ac:dyDescent="0.3">
      <c r="A44" s="3"/>
      <c r="B44" s="8" t="s">
        <v>114</v>
      </c>
      <c r="C44" s="8" t="s">
        <v>52</v>
      </c>
      <c r="D44" s="8"/>
      <c r="E44" s="8"/>
      <c r="F44" s="8"/>
      <c r="G44" s="35"/>
      <c r="H44" s="8"/>
      <c r="I44" s="16"/>
      <c r="J44" s="35">
        <f>F44*G44+H44*I44</f>
        <v>0</v>
      </c>
      <c r="K44" s="16" t="e">
        <f>E44/(J44)</f>
        <v>#DIV/0!</v>
      </c>
      <c r="L44" s="3"/>
      <c r="M44" s="26" t="e">
        <f>E44+'6-30-22'!M44</f>
        <v>#VALUE!</v>
      </c>
      <c r="N44" s="53" t="e">
        <f>M44/C44</f>
        <v>#VALUE!</v>
      </c>
      <c r="O44" s="35">
        <f>J44+'6-30-22'!O44</f>
        <v>99</v>
      </c>
      <c r="P44" s="26" t="e">
        <f>M44/O44</f>
        <v>#VALUE!</v>
      </c>
    </row>
    <row r="45" spans="1:16" ht="15.6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27"/>
      <c r="O45" s="3"/>
      <c r="P45" s="3"/>
    </row>
    <row r="46" spans="1:16" ht="15.6" x14ac:dyDescent="0.3">
      <c r="A46" s="3"/>
      <c r="B46" s="8" t="s">
        <v>75</v>
      </c>
      <c r="C46" s="8"/>
      <c r="D46" s="8"/>
      <c r="E46" s="8"/>
      <c r="F46" s="8"/>
      <c r="G46" s="35"/>
      <c r="H46" s="8"/>
      <c r="I46" s="16"/>
      <c r="J46" s="35">
        <f>F46*G46+H46*I46</f>
        <v>0</v>
      </c>
      <c r="K46" s="16" t="e">
        <f>E46/(J46)</f>
        <v>#DIV/0!</v>
      </c>
      <c r="L46" s="3"/>
      <c r="M46" s="26">
        <f>E46+'6-30-22'!M46</f>
        <v>0</v>
      </c>
      <c r="N46" s="53" t="e">
        <f>M46/C46</f>
        <v>#DIV/0!</v>
      </c>
      <c r="O46" s="35">
        <f>J46+'6-30-22'!O46</f>
        <v>253.5</v>
      </c>
      <c r="P46" s="26">
        <f>M46/O46</f>
        <v>0</v>
      </c>
    </row>
    <row r="47" spans="1:16" ht="15.6" x14ac:dyDescent="0.3">
      <c r="A47" s="3"/>
      <c r="B47" s="3" t="s">
        <v>27</v>
      </c>
      <c r="C47" s="3"/>
      <c r="D47" s="3" t="s">
        <v>52</v>
      </c>
      <c r="E47" s="3"/>
      <c r="F47" s="3"/>
      <c r="G47" s="3"/>
      <c r="H47" s="30"/>
      <c r="I47" s="4"/>
      <c r="J47" s="3">
        <f>J20+J22+J24+J26+J28+J30+J32+J34+J36+J38+J40+J42+J44+J46</f>
        <v>81</v>
      </c>
      <c r="K47" s="3"/>
      <c r="L47" s="3"/>
      <c r="M47" s="3"/>
      <c r="N47" s="3"/>
      <c r="O47" s="3">
        <f>O20+O22+O24+O26+O28+O30+O32+O34+O36+O38+O40+O42+O44+O46</f>
        <v>3483.5</v>
      </c>
      <c r="P47" s="3"/>
    </row>
    <row r="48" spans="1:16" ht="15.6" x14ac:dyDescent="0.3">
      <c r="A48" s="3"/>
      <c r="B48" s="3"/>
      <c r="C48" s="3"/>
      <c r="D48" s="3"/>
      <c r="E48" s="3"/>
      <c r="F48" s="3"/>
      <c r="G48" s="3"/>
      <c r="H48" s="3"/>
      <c r="I48" s="4"/>
      <c r="J48" s="3"/>
      <c r="K48" s="3"/>
      <c r="L48" s="3"/>
      <c r="M48" s="3"/>
      <c r="N48" s="3"/>
      <c r="O48" s="3"/>
      <c r="P48" s="3"/>
    </row>
    <row r="49" spans="1:16" ht="15.6" x14ac:dyDescent="0.3">
      <c r="A49" s="3"/>
      <c r="B49" s="3" t="s">
        <v>28</v>
      </c>
      <c r="C49" s="3" t="s">
        <v>248</v>
      </c>
      <c r="D49" s="3" t="s">
        <v>249</v>
      </c>
      <c r="E49" s="3"/>
      <c r="F49" s="3"/>
      <c r="G49" s="3"/>
      <c r="H49" s="3"/>
      <c r="I49" s="4"/>
      <c r="J49" s="3"/>
      <c r="K49" s="3"/>
      <c r="L49" s="3"/>
      <c r="M49" s="3"/>
      <c r="N49" s="3"/>
      <c r="O49" s="3"/>
      <c r="P49" s="3"/>
    </row>
    <row r="50" spans="1:16" ht="15.6" x14ac:dyDescent="0.3">
      <c r="C50" s="33"/>
    </row>
    <row r="51" spans="1:16" ht="15.6" x14ac:dyDescent="0.3">
      <c r="B51" s="3" t="s">
        <v>32</v>
      </c>
      <c r="C51" s="33" t="s">
        <v>250</v>
      </c>
    </row>
    <row r="52" spans="1:16" ht="15.6" x14ac:dyDescent="0.3">
      <c r="C52" s="33"/>
    </row>
    <row r="53" spans="1:16" ht="15.6" x14ac:dyDescent="0.3">
      <c r="B53" s="3" t="s">
        <v>33</v>
      </c>
      <c r="C53" s="3" t="s">
        <v>251</v>
      </c>
    </row>
    <row r="54" spans="1:16" ht="15.6" x14ac:dyDescent="0.3">
      <c r="C54" s="33" t="s">
        <v>252</v>
      </c>
    </row>
    <row r="55" spans="1:16" ht="15.6" x14ac:dyDescent="0.3">
      <c r="C55" s="33" t="s">
        <v>52</v>
      </c>
    </row>
    <row r="57" spans="1:16" x14ac:dyDescent="0.3">
      <c r="C57" t="s">
        <v>52</v>
      </c>
      <c r="D57" t="s">
        <v>52</v>
      </c>
    </row>
    <row r="58" spans="1:16" x14ac:dyDescent="0.3">
      <c r="C58" t="s">
        <v>52</v>
      </c>
      <c r="D58" t="s">
        <v>52</v>
      </c>
    </row>
  </sheetData>
  <mergeCells count="3">
    <mergeCell ref="A1:G1"/>
    <mergeCell ref="H7:I7"/>
    <mergeCell ref="L7:M7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B4BB4-7DFC-4B55-9CD3-839B5E43DFEC}">
  <dimension ref="A1:R58"/>
  <sheetViews>
    <sheetView zoomScale="85" zoomScaleNormal="85" workbookViewId="0">
      <selection activeCell="K10" sqref="I10:K10"/>
    </sheetView>
  </sheetViews>
  <sheetFormatPr defaultRowHeight="14.4" x14ac:dyDescent="0.3"/>
  <cols>
    <col min="1" max="1" width="11.33203125" customWidth="1"/>
    <col min="2" max="2" width="29.33203125" customWidth="1"/>
    <col min="3" max="3" width="22.109375" customWidth="1"/>
    <col min="4" max="4" width="12.6640625" customWidth="1"/>
    <col min="5" max="5" width="14.44140625" customWidth="1"/>
    <col min="6" max="6" width="13.33203125" customWidth="1"/>
    <col min="8" max="8" width="20.44140625" customWidth="1"/>
    <col min="12" max="12" width="13.44140625" customWidth="1"/>
    <col min="13" max="13" width="10.6640625" customWidth="1"/>
    <col min="14" max="14" width="10" bestFit="1" customWidth="1"/>
    <col min="15" max="15" width="10.6640625" customWidth="1"/>
    <col min="18" max="18" width="9.6640625" bestFit="1" customWidth="1"/>
  </cols>
  <sheetData>
    <row r="1" spans="1:18" ht="18" x14ac:dyDescent="0.35">
      <c r="A1" s="66" t="s">
        <v>0</v>
      </c>
      <c r="B1" s="66"/>
      <c r="C1" s="66"/>
      <c r="D1" s="66"/>
      <c r="E1" s="66"/>
      <c r="F1" s="66"/>
      <c r="G1" s="66"/>
      <c r="H1" s="1"/>
      <c r="I1" s="2"/>
      <c r="J1" s="1"/>
      <c r="K1" s="1"/>
      <c r="L1" s="1"/>
      <c r="M1" s="1"/>
      <c r="N1" s="1"/>
      <c r="O1" s="1"/>
      <c r="P1" s="1"/>
    </row>
    <row r="2" spans="1:18" ht="15.6" x14ac:dyDescent="0.3">
      <c r="A2" s="3"/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</row>
    <row r="3" spans="1:18" ht="15.6" x14ac:dyDescent="0.3">
      <c r="A3" s="3"/>
      <c r="B3" s="5" t="s">
        <v>1</v>
      </c>
      <c r="C3" s="6" t="s">
        <v>43</v>
      </c>
      <c r="D3" s="7"/>
      <c r="E3" s="3"/>
      <c r="F3" s="5" t="s">
        <v>2</v>
      </c>
      <c r="G3" s="8">
        <v>4355</v>
      </c>
      <c r="H3" s="34" t="s">
        <v>41</v>
      </c>
      <c r="I3" s="35">
        <v>49</v>
      </c>
      <c r="J3" s="3"/>
      <c r="K3" s="3"/>
      <c r="L3" s="3"/>
      <c r="N3" s="3" t="s">
        <v>163</v>
      </c>
      <c r="O3" s="3"/>
      <c r="P3" s="3"/>
      <c r="Q3" s="61" t="s">
        <v>196</v>
      </c>
      <c r="R3" s="62">
        <v>44702</v>
      </c>
    </row>
    <row r="4" spans="1:18" ht="15.6" x14ac:dyDescent="0.3">
      <c r="A4" s="3"/>
      <c r="B4" s="5" t="s">
        <v>3</v>
      </c>
      <c r="C4" s="37">
        <v>300155</v>
      </c>
      <c r="D4" s="7"/>
      <c r="E4" s="3"/>
      <c r="F4" s="5" t="s">
        <v>4</v>
      </c>
      <c r="G4" s="56">
        <f>N16+'6-29-22'!G4</f>
        <v>3402.5</v>
      </c>
      <c r="H4" s="34" t="s">
        <v>42</v>
      </c>
      <c r="I4" s="16">
        <v>46</v>
      </c>
      <c r="J4" s="58"/>
      <c r="K4" s="3"/>
      <c r="L4" s="3"/>
      <c r="M4" s="3"/>
      <c r="N4" s="3"/>
      <c r="O4" s="3"/>
      <c r="P4" s="3" t="s">
        <v>52</v>
      </c>
      <c r="Q4" s="61" t="s">
        <v>196</v>
      </c>
      <c r="R4" s="62">
        <v>44732</v>
      </c>
    </row>
    <row r="5" spans="1:18" ht="15.6" x14ac:dyDescent="0.3">
      <c r="A5" s="3"/>
      <c r="B5" s="5" t="s">
        <v>5</v>
      </c>
      <c r="C5" s="38">
        <v>44742</v>
      </c>
      <c r="D5" s="3"/>
      <c r="E5" s="3"/>
      <c r="F5" s="3"/>
      <c r="G5" s="59">
        <f>G4/G3</f>
        <v>0.78128587830080365</v>
      </c>
      <c r="H5" s="3"/>
      <c r="I5" s="60">
        <f>I4/I3</f>
        <v>0.93877551020408168</v>
      </c>
      <c r="J5" s="3"/>
      <c r="K5" s="3"/>
      <c r="L5" s="3"/>
      <c r="M5" s="3"/>
      <c r="N5" s="3"/>
      <c r="O5" s="3"/>
      <c r="P5" s="3"/>
      <c r="Q5" s="61"/>
      <c r="R5" s="61"/>
    </row>
    <row r="6" spans="1:18" ht="15.6" x14ac:dyDescent="0.3">
      <c r="A6" s="3"/>
      <c r="B6" s="5"/>
      <c r="C6" s="3"/>
      <c r="D6" s="3"/>
      <c r="E6" s="3"/>
      <c r="F6" s="3"/>
      <c r="G6" s="3"/>
      <c r="H6" s="3"/>
      <c r="I6" s="4"/>
      <c r="J6" s="3"/>
      <c r="K6" s="30"/>
      <c r="L6" s="3"/>
      <c r="M6" s="3"/>
      <c r="N6" s="3"/>
      <c r="O6" s="3"/>
      <c r="P6" s="3"/>
      <c r="Q6" s="61"/>
      <c r="R6" s="61"/>
    </row>
    <row r="7" spans="1:18" ht="15.6" x14ac:dyDescent="0.3">
      <c r="A7" s="10" t="s">
        <v>6</v>
      </c>
      <c r="B7" s="11"/>
      <c r="C7" s="12" t="s">
        <v>7</v>
      </c>
      <c r="D7" s="3"/>
      <c r="E7" s="12" t="s">
        <v>8</v>
      </c>
      <c r="F7" s="12" t="s">
        <v>34</v>
      </c>
      <c r="G7" s="3"/>
      <c r="H7" s="67" t="s">
        <v>7</v>
      </c>
      <c r="I7" s="67"/>
      <c r="J7" s="12" t="s">
        <v>8</v>
      </c>
      <c r="K7" s="3"/>
      <c r="L7" s="67" t="s">
        <v>7</v>
      </c>
      <c r="M7" s="67"/>
      <c r="N7" s="12" t="s">
        <v>8</v>
      </c>
      <c r="O7" s="12" t="s">
        <v>34</v>
      </c>
      <c r="P7" s="3"/>
      <c r="Q7" s="61"/>
      <c r="R7" s="61"/>
    </row>
    <row r="8" spans="1:18" ht="15.6" x14ac:dyDescent="0.3">
      <c r="A8" s="13">
        <v>1</v>
      </c>
      <c r="B8" s="5" t="s">
        <v>9</v>
      </c>
      <c r="C8" s="14" t="s">
        <v>35</v>
      </c>
      <c r="D8" s="15"/>
      <c r="E8" s="35">
        <v>9</v>
      </c>
      <c r="F8" s="16">
        <v>66</v>
      </c>
      <c r="G8" s="11">
        <v>9</v>
      </c>
      <c r="H8" s="14" t="s">
        <v>40</v>
      </c>
      <c r="I8" s="8"/>
      <c r="J8" s="35">
        <v>9</v>
      </c>
      <c r="K8" s="11">
        <v>17</v>
      </c>
      <c r="L8" s="63" t="s">
        <v>239</v>
      </c>
      <c r="M8" s="8"/>
      <c r="N8" s="35"/>
      <c r="O8" s="16">
        <v>83</v>
      </c>
      <c r="P8" s="3"/>
      <c r="Q8" s="61"/>
      <c r="R8" s="61"/>
    </row>
    <row r="9" spans="1:18" ht="15.6" x14ac:dyDescent="0.3">
      <c r="A9" s="13">
        <v>2</v>
      </c>
      <c r="B9" s="5" t="s">
        <v>10</v>
      </c>
      <c r="C9" s="14" t="s">
        <v>37</v>
      </c>
      <c r="D9" s="8"/>
      <c r="E9" s="35">
        <v>9</v>
      </c>
      <c r="F9" s="16"/>
      <c r="G9" s="11">
        <v>10</v>
      </c>
      <c r="H9" s="64" t="s">
        <v>232</v>
      </c>
      <c r="I9" s="8"/>
      <c r="J9" s="39"/>
      <c r="K9" s="11">
        <v>18</v>
      </c>
      <c r="L9" s="63" t="s">
        <v>229</v>
      </c>
      <c r="M9" s="8"/>
      <c r="N9" s="39"/>
      <c r="O9" s="16">
        <v>84</v>
      </c>
      <c r="P9" s="3"/>
      <c r="Q9" s="61"/>
      <c r="R9" s="61"/>
    </row>
    <row r="10" spans="1:18" ht="15.6" x14ac:dyDescent="0.3">
      <c r="A10" s="13">
        <v>3</v>
      </c>
      <c r="B10" s="5" t="s">
        <v>11</v>
      </c>
      <c r="C10" s="14" t="s">
        <v>36</v>
      </c>
      <c r="D10" s="8"/>
      <c r="E10" s="35">
        <v>9</v>
      </c>
      <c r="F10" s="16">
        <v>78</v>
      </c>
      <c r="G10" s="11">
        <v>11</v>
      </c>
      <c r="H10" s="64" t="s">
        <v>233</v>
      </c>
      <c r="I10" s="8"/>
      <c r="J10" s="39"/>
      <c r="K10" s="11">
        <v>19</v>
      </c>
      <c r="L10" s="63" t="s">
        <v>230</v>
      </c>
      <c r="M10" s="8"/>
      <c r="N10" s="39"/>
      <c r="O10" s="16">
        <v>81</v>
      </c>
      <c r="P10" s="3"/>
      <c r="Q10" s="61"/>
      <c r="R10" s="61"/>
    </row>
    <row r="11" spans="1:18" ht="15.6" x14ac:dyDescent="0.3">
      <c r="A11" s="13">
        <v>4</v>
      </c>
      <c r="B11" s="5" t="s">
        <v>12</v>
      </c>
      <c r="C11" s="14" t="s">
        <v>29</v>
      </c>
      <c r="D11" s="8"/>
      <c r="E11" s="35">
        <v>9</v>
      </c>
      <c r="F11" s="16"/>
      <c r="G11" s="11">
        <v>12</v>
      </c>
      <c r="H11" s="64" t="s">
        <v>234</v>
      </c>
      <c r="I11" s="8"/>
      <c r="J11" s="39"/>
      <c r="K11" s="11">
        <v>20</v>
      </c>
      <c r="L11" s="63" t="s">
        <v>231</v>
      </c>
      <c r="M11" s="8"/>
      <c r="N11" s="39"/>
      <c r="O11" s="16">
        <v>79</v>
      </c>
      <c r="P11" s="3"/>
      <c r="Q11" s="61"/>
      <c r="R11" s="61"/>
    </row>
    <row r="12" spans="1:18" ht="15.6" x14ac:dyDescent="0.3">
      <c r="A12" s="13">
        <v>5</v>
      </c>
      <c r="B12" s="3"/>
      <c r="C12" s="31" t="s">
        <v>30</v>
      </c>
      <c r="D12" s="8"/>
      <c r="E12" s="35">
        <v>9</v>
      </c>
      <c r="F12" s="16"/>
      <c r="G12" s="11">
        <v>13</v>
      </c>
      <c r="H12" s="64" t="s">
        <v>235</v>
      </c>
      <c r="I12" s="8"/>
      <c r="J12" s="39"/>
      <c r="K12" s="11">
        <v>21</v>
      </c>
      <c r="L12" s="64" t="s">
        <v>240</v>
      </c>
      <c r="M12" s="8"/>
      <c r="N12" s="39"/>
      <c r="O12" s="16"/>
      <c r="P12" s="3"/>
    </row>
    <row r="13" spans="1:18" ht="15.6" x14ac:dyDescent="0.3">
      <c r="A13" s="13">
        <v>6</v>
      </c>
      <c r="B13" s="3"/>
      <c r="C13" s="14" t="s">
        <v>31</v>
      </c>
      <c r="D13" s="8"/>
      <c r="E13" s="35">
        <v>9</v>
      </c>
      <c r="F13" s="16">
        <v>74</v>
      </c>
      <c r="G13" s="11">
        <v>14</v>
      </c>
      <c r="H13" s="63" t="s">
        <v>236</v>
      </c>
      <c r="I13" s="8"/>
      <c r="J13" s="39"/>
      <c r="K13" s="11">
        <v>22</v>
      </c>
      <c r="L13" s="18"/>
      <c r="M13" s="8"/>
      <c r="N13" s="39"/>
      <c r="O13" s="16" t="s">
        <v>52</v>
      </c>
      <c r="P13" s="3"/>
    </row>
    <row r="14" spans="1:18" ht="15.6" x14ac:dyDescent="0.3">
      <c r="A14" s="13">
        <v>7</v>
      </c>
      <c r="B14" s="5" t="s">
        <v>52</v>
      </c>
      <c r="C14" s="14" t="s">
        <v>39</v>
      </c>
      <c r="D14" s="8"/>
      <c r="E14" s="35">
        <v>9</v>
      </c>
      <c r="F14" s="16"/>
      <c r="G14" s="11">
        <v>15</v>
      </c>
      <c r="H14" s="64" t="s">
        <v>237</v>
      </c>
      <c r="I14" s="8"/>
      <c r="J14" s="39"/>
      <c r="K14" s="11">
        <v>23</v>
      </c>
      <c r="L14" s="3"/>
      <c r="M14" s="8"/>
      <c r="N14" s="39"/>
      <c r="O14" s="16"/>
      <c r="P14" s="3"/>
    </row>
    <row r="15" spans="1:18" ht="15.6" x14ac:dyDescent="0.3">
      <c r="A15" s="13">
        <v>8</v>
      </c>
      <c r="B15" s="3"/>
      <c r="C15" s="14" t="s">
        <v>38</v>
      </c>
      <c r="D15" s="8"/>
      <c r="E15" s="35">
        <v>9</v>
      </c>
      <c r="F15" s="16"/>
      <c r="G15" s="11">
        <v>16</v>
      </c>
      <c r="H15" s="64" t="s">
        <v>238</v>
      </c>
      <c r="I15" s="8"/>
      <c r="J15" s="35"/>
      <c r="K15" s="11">
        <v>24</v>
      </c>
      <c r="L15" s="3"/>
      <c r="M15" s="8"/>
      <c r="N15" s="39"/>
      <c r="O15" s="16"/>
      <c r="P15" s="3"/>
    </row>
    <row r="16" spans="1:18" ht="15.6" x14ac:dyDescent="0.3">
      <c r="A16" s="3"/>
      <c r="B16" s="3"/>
      <c r="C16" s="3"/>
      <c r="D16" s="3"/>
      <c r="E16" s="3"/>
      <c r="F16" s="3"/>
      <c r="G16" s="13"/>
      <c r="H16" s="7"/>
      <c r="I16" s="3"/>
      <c r="J16" s="3"/>
      <c r="K16" s="13"/>
      <c r="L16" s="7" t="s">
        <v>13</v>
      </c>
      <c r="M16" s="3"/>
      <c r="N16" s="8">
        <f>E8+E9+E10+E11+E12+E13+E14+E15+J8+J9+J10+J11+J12+J13+J14+J15+N8+N9+N10+N11+N12+N13+N14+N15</f>
        <v>81</v>
      </c>
      <c r="O16" s="3"/>
      <c r="P16" s="3"/>
    </row>
    <row r="17" spans="1:16" ht="15.6" x14ac:dyDescent="0.3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  <c r="L17" s="3"/>
      <c r="M17" s="3"/>
      <c r="N17" s="3"/>
      <c r="O17" s="3"/>
      <c r="P17" s="3"/>
    </row>
    <row r="18" spans="1:16" ht="93.6" x14ac:dyDescent="0.3">
      <c r="A18" s="19"/>
      <c r="B18" s="20" t="s">
        <v>14</v>
      </c>
      <c r="C18" s="21" t="s">
        <v>15</v>
      </c>
      <c r="D18" s="22" t="s">
        <v>16</v>
      </c>
      <c r="E18" s="22" t="s">
        <v>17</v>
      </c>
      <c r="F18" s="22" t="s">
        <v>18</v>
      </c>
      <c r="G18" s="22" t="s">
        <v>19</v>
      </c>
      <c r="H18" s="22" t="s">
        <v>18</v>
      </c>
      <c r="I18" s="22" t="s">
        <v>19</v>
      </c>
      <c r="J18" s="22" t="s">
        <v>20</v>
      </c>
      <c r="K18" s="23" t="s">
        <v>21</v>
      </c>
      <c r="L18" s="24"/>
      <c r="M18" s="23" t="s">
        <v>22</v>
      </c>
      <c r="N18" s="23" t="s">
        <v>23</v>
      </c>
      <c r="O18" s="23" t="s">
        <v>24</v>
      </c>
      <c r="P18" s="23" t="s">
        <v>25</v>
      </c>
    </row>
    <row r="19" spans="1:16" ht="15.6" x14ac:dyDescent="0.3">
      <c r="A19" s="19"/>
      <c r="B19" s="19"/>
      <c r="C19" s="24"/>
      <c r="D19" s="24"/>
      <c r="E19" s="24"/>
      <c r="F19" s="24"/>
      <c r="G19" s="24"/>
      <c r="H19" s="24"/>
      <c r="I19" s="24"/>
      <c r="J19" s="24"/>
      <c r="K19" s="25"/>
      <c r="L19" s="24"/>
      <c r="M19" s="3"/>
      <c r="N19" s="3"/>
      <c r="O19" s="3"/>
      <c r="P19" s="3"/>
    </row>
    <row r="20" spans="1:16" ht="15.6" x14ac:dyDescent="0.3">
      <c r="A20" s="3"/>
      <c r="B20" s="8" t="s">
        <v>26</v>
      </c>
      <c r="C20" s="8">
        <v>1</v>
      </c>
      <c r="D20" s="8">
        <v>1</v>
      </c>
      <c r="E20" s="8"/>
      <c r="F20" s="8"/>
      <c r="G20" s="35">
        <v>0</v>
      </c>
      <c r="H20" s="8"/>
      <c r="I20" s="16"/>
      <c r="J20" s="35">
        <f>F20*G20+H20*I20</f>
        <v>0</v>
      </c>
      <c r="K20" s="16" t="e">
        <f>E20/(J20)</f>
        <v>#DIV/0!</v>
      </c>
      <c r="L20" s="3"/>
      <c r="M20" s="26">
        <v>0</v>
      </c>
      <c r="N20" s="27">
        <f>M20/C20</f>
        <v>0</v>
      </c>
      <c r="O20" s="35">
        <f>J20+'6-29-22'!O20</f>
        <v>108</v>
      </c>
      <c r="P20" s="26">
        <f>M20/O20</f>
        <v>0</v>
      </c>
    </row>
    <row r="21" spans="1:16" ht="15.6" x14ac:dyDescent="0.3">
      <c r="A21" s="3"/>
      <c r="B21" s="3"/>
      <c r="C21" s="3"/>
      <c r="D21" s="3"/>
      <c r="E21" s="3"/>
      <c r="F21" s="3"/>
      <c r="G21" s="40"/>
      <c r="H21" s="3"/>
      <c r="I21" s="28"/>
      <c r="J21" s="40"/>
      <c r="K21" s="28"/>
      <c r="L21" s="3"/>
      <c r="M21" s="29"/>
      <c r="N21" s="3"/>
      <c r="O21" s="3"/>
      <c r="P21" s="3"/>
    </row>
    <row r="22" spans="1:16" ht="15.6" x14ac:dyDescent="0.3">
      <c r="A22" s="3"/>
      <c r="B22" s="8" t="s">
        <v>53</v>
      </c>
      <c r="C22" s="8">
        <v>125400</v>
      </c>
      <c r="D22" s="41"/>
      <c r="E22" s="41"/>
      <c r="F22" s="8"/>
      <c r="G22" s="35"/>
      <c r="H22" s="8"/>
      <c r="I22" s="16"/>
      <c r="J22" s="35">
        <f>F22*G22+H22*I22</f>
        <v>0</v>
      </c>
      <c r="K22" s="16" t="e">
        <f>E22/(J22)</f>
        <v>#DIV/0!</v>
      </c>
      <c r="L22" s="3"/>
      <c r="M22" s="26">
        <f>E22+'6-29-22'!M22</f>
        <v>125400</v>
      </c>
      <c r="N22" s="27">
        <f>M22/C22</f>
        <v>1</v>
      </c>
      <c r="O22" s="35">
        <f>J22+'6-29-22'!O22</f>
        <v>679.75</v>
      </c>
      <c r="P22" s="26">
        <f>M22/O22</f>
        <v>184.47958808385437</v>
      </c>
    </row>
    <row r="23" spans="1:16" ht="15.6" x14ac:dyDescent="0.3">
      <c r="A23" s="3"/>
      <c r="B23" s="3"/>
      <c r="C23" s="3"/>
      <c r="D23" s="3"/>
      <c r="E23" s="3"/>
      <c r="F23" s="3"/>
      <c r="G23" s="40"/>
      <c r="H23" s="3"/>
      <c r="I23" s="28"/>
      <c r="J23" s="40"/>
      <c r="K23" s="28"/>
      <c r="L23" s="3"/>
      <c r="M23" s="29"/>
      <c r="N23" s="3"/>
      <c r="O23" s="36"/>
      <c r="P23" s="29"/>
    </row>
    <row r="24" spans="1:16" ht="15.6" x14ac:dyDescent="0.3">
      <c r="A24" s="3"/>
      <c r="B24" s="8" t="s">
        <v>54</v>
      </c>
      <c r="C24" s="8">
        <v>125400</v>
      </c>
      <c r="D24" s="8"/>
      <c r="E24" s="8"/>
      <c r="F24" s="8"/>
      <c r="G24" s="35"/>
      <c r="H24" s="8"/>
      <c r="I24" s="16"/>
      <c r="J24" s="35">
        <f>F24*G24+H24*I24</f>
        <v>0</v>
      </c>
      <c r="K24" s="16" t="e">
        <f>E24/(J24)</f>
        <v>#DIV/0!</v>
      </c>
      <c r="L24" s="3"/>
      <c r="M24" s="26">
        <f>E24+'6-29-22'!M24</f>
        <v>125400</v>
      </c>
      <c r="N24" s="27">
        <f>M24/C24</f>
        <v>1</v>
      </c>
      <c r="O24" s="35">
        <f>J24+'6-29-22'!O24</f>
        <v>449.75</v>
      </c>
      <c r="P24" s="26">
        <f>M24/O24</f>
        <v>278.82156753752082</v>
      </c>
    </row>
    <row r="25" spans="1:16" ht="15.6" x14ac:dyDescent="0.3">
      <c r="A25" s="3"/>
      <c r="B25" s="3"/>
      <c r="C25" s="3"/>
      <c r="D25" s="3"/>
      <c r="E25" s="3"/>
      <c r="F25" s="3"/>
      <c r="G25" s="36"/>
      <c r="H25" s="3"/>
      <c r="I25" s="4"/>
      <c r="J25" s="36"/>
      <c r="K25" s="4"/>
      <c r="L25" s="3"/>
      <c r="M25" s="29"/>
      <c r="N25" s="3"/>
      <c r="O25" s="3"/>
      <c r="P25" s="3"/>
    </row>
    <row r="26" spans="1:16" ht="15.6" x14ac:dyDescent="0.3">
      <c r="A26" s="3"/>
      <c r="B26" s="8" t="s">
        <v>44</v>
      </c>
      <c r="C26" s="8">
        <v>3040</v>
      </c>
      <c r="D26" s="8"/>
      <c r="E26" s="8"/>
      <c r="F26" s="8"/>
      <c r="G26" s="35"/>
      <c r="H26" s="8"/>
      <c r="I26" s="16"/>
      <c r="J26" s="35">
        <f>F26*G26+H26*I26</f>
        <v>0</v>
      </c>
      <c r="K26" s="16" t="e">
        <f>E26/(J26)</f>
        <v>#DIV/0!</v>
      </c>
      <c r="L26" s="3"/>
      <c r="M26" s="26">
        <f>E26+'6-29-22'!M26</f>
        <v>3040</v>
      </c>
      <c r="N26" s="27">
        <f>M26/C26</f>
        <v>1</v>
      </c>
      <c r="O26" s="35">
        <f>J26+'6-29-22'!O26</f>
        <v>121.25</v>
      </c>
      <c r="P26" s="26">
        <f>M26/O26</f>
        <v>25.072164948453608</v>
      </c>
    </row>
    <row r="27" spans="1:16" ht="15.6" x14ac:dyDescent="0.3">
      <c r="A27" s="3"/>
      <c r="B27" s="3"/>
      <c r="C27" s="3"/>
      <c r="D27" s="3"/>
      <c r="E27" s="3"/>
      <c r="F27" s="3"/>
      <c r="G27" s="36"/>
      <c r="H27" s="3"/>
      <c r="I27" s="4"/>
      <c r="J27" s="36"/>
      <c r="K27" s="4"/>
      <c r="L27" s="3"/>
      <c r="M27" s="29"/>
      <c r="N27" s="3"/>
      <c r="O27" s="3"/>
      <c r="P27" s="3"/>
    </row>
    <row r="28" spans="1:16" ht="15.6" x14ac:dyDescent="0.3">
      <c r="A28" s="3"/>
      <c r="B28" s="8" t="s">
        <v>45</v>
      </c>
      <c r="C28" s="8">
        <v>3040</v>
      </c>
      <c r="D28" s="8"/>
      <c r="E28" s="8">
        <v>200</v>
      </c>
      <c r="F28" s="8">
        <v>9</v>
      </c>
      <c r="G28" s="35">
        <v>6</v>
      </c>
      <c r="H28" s="8"/>
      <c r="I28" s="35"/>
      <c r="J28" s="35">
        <f>F28*G28+H28*I28</f>
        <v>54</v>
      </c>
      <c r="K28" s="16">
        <f>E28/(J28)</f>
        <v>3.7037037037037037</v>
      </c>
      <c r="L28" s="3"/>
      <c r="M28" s="26">
        <f>E28+'6-29-22'!M28</f>
        <v>2362</v>
      </c>
      <c r="N28" s="27">
        <f>M28/C28</f>
        <v>0.77697368421052626</v>
      </c>
      <c r="O28" s="35">
        <f>J28+'6-29-22'!O28</f>
        <v>621.25</v>
      </c>
      <c r="P28" s="26">
        <f>M28/O28</f>
        <v>3.8020120724346076</v>
      </c>
    </row>
    <row r="29" spans="1:16" ht="15.6" x14ac:dyDescent="0.3">
      <c r="A29" s="3"/>
      <c r="B29" s="3"/>
      <c r="C29" s="3"/>
      <c r="D29" s="3"/>
      <c r="E29" s="3"/>
      <c r="F29" s="3"/>
      <c r="G29" s="36"/>
      <c r="H29" s="3"/>
      <c r="I29" s="4"/>
      <c r="J29" s="36"/>
      <c r="K29" s="4"/>
      <c r="L29" s="3"/>
      <c r="M29" s="29"/>
      <c r="N29" s="3"/>
      <c r="O29" s="3"/>
      <c r="P29" s="3"/>
    </row>
    <row r="30" spans="1:16" ht="15.6" x14ac:dyDescent="0.3">
      <c r="A30" s="3"/>
      <c r="B30" s="8" t="s">
        <v>47</v>
      </c>
      <c r="C30" s="8">
        <v>123400</v>
      </c>
      <c r="D30" s="8"/>
      <c r="E30" s="8"/>
      <c r="F30" s="8"/>
      <c r="G30" s="35"/>
      <c r="H30" s="8"/>
      <c r="I30" s="35"/>
      <c r="J30" s="35">
        <f>F30*G30+H30*I30</f>
        <v>0</v>
      </c>
      <c r="K30" s="16" t="e">
        <f>E30/(J30)</f>
        <v>#DIV/0!</v>
      </c>
      <c r="L30" s="3"/>
      <c r="M30" s="26">
        <f>E30+'6-29-22'!M30</f>
        <v>123400</v>
      </c>
      <c r="N30" s="27">
        <f>M30/C30</f>
        <v>1</v>
      </c>
      <c r="O30" s="35">
        <f>J30+'6-29-22'!O30</f>
        <v>645.5</v>
      </c>
      <c r="P30" s="26">
        <f>M30/O30</f>
        <v>191.16963594113091</v>
      </c>
    </row>
    <row r="31" spans="1:16" ht="15.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7"/>
      <c r="O31" s="3"/>
      <c r="P31" s="3"/>
    </row>
    <row r="32" spans="1:16" ht="15.6" x14ac:dyDescent="0.3">
      <c r="A32" s="3"/>
      <c r="B32" s="8" t="s">
        <v>46</v>
      </c>
      <c r="C32" s="8">
        <v>303</v>
      </c>
      <c r="D32" s="8"/>
      <c r="E32" s="8"/>
      <c r="F32" s="8"/>
      <c r="G32" s="35"/>
      <c r="H32" s="8"/>
      <c r="I32" s="16"/>
      <c r="J32" s="35">
        <f>F32*G32+H32*I32</f>
        <v>0</v>
      </c>
      <c r="K32" s="16" t="e">
        <f>E32/(J32)</f>
        <v>#DIV/0!</v>
      </c>
      <c r="L32" s="3"/>
      <c r="M32" s="26">
        <f>E32+'6-29-22'!M32</f>
        <v>303</v>
      </c>
      <c r="N32" s="27">
        <f>M32/C32</f>
        <v>1</v>
      </c>
      <c r="O32" s="35">
        <f>J32+'6-29-22'!O32</f>
        <v>166.5</v>
      </c>
      <c r="P32" s="26">
        <f>M32/O32</f>
        <v>1.8198198198198199</v>
      </c>
    </row>
    <row r="33" spans="1:16" ht="15.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7"/>
      <c r="O33" s="3"/>
      <c r="P33" s="3"/>
    </row>
    <row r="34" spans="1:16" ht="15.6" x14ac:dyDescent="0.3">
      <c r="A34" s="3"/>
      <c r="B34" s="8" t="s">
        <v>48</v>
      </c>
      <c r="C34" s="8">
        <v>115000</v>
      </c>
      <c r="D34" s="8" t="s">
        <v>241</v>
      </c>
      <c r="E34" s="8"/>
      <c r="F34" s="8">
        <v>9</v>
      </c>
      <c r="G34" s="35">
        <v>3</v>
      </c>
      <c r="H34" s="8"/>
      <c r="I34" s="16"/>
      <c r="J34" s="35">
        <f>F34*G34+H34*I34</f>
        <v>27</v>
      </c>
      <c r="K34" s="16">
        <f>E34/(J34)</f>
        <v>0</v>
      </c>
      <c r="L34" s="3"/>
      <c r="M34" s="26">
        <f>E34+'6-29-22'!M34</f>
        <v>0</v>
      </c>
      <c r="N34" s="27">
        <f>M34/C34</f>
        <v>0</v>
      </c>
      <c r="O34" s="35">
        <f>J34+'6-29-22'!O34</f>
        <v>117</v>
      </c>
      <c r="P34" s="26">
        <f>M34/O34</f>
        <v>0</v>
      </c>
    </row>
    <row r="35" spans="1:16" ht="15.6" x14ac:dyDescent="0.3">
      <c r="A35" s="3"/>
      <c r="B35" s="3"/>
      <c r="C35" s="3"/>
      <c r="D35" s="3" t="s">
        <v>242</v>
      </c>
      <c r="E35" s="3"/>
      <c r="F35" s="3"/>
      <c r="G35" s="3"/>
      <c r="H35" s="3"/>
      <c r="I35" s="3"/>
      <c r="J35" s="3"/>
      <c r="K35" s="3"/>
      <c r="L35" s="3"/>
      <c r="M35" s="3"/>
      <c r="N35" s="27"/>
      <c r="O35" s="3"/>
      <c r="P35" s="3"/>
    </row>
    <row r="36" spans="1:16" ht="15.6" x14ac:dyDescent="0.3">
      <c r="A36" s="3"/>
      <c r="B36" s="8" t="s">
        <v>49</v>
      </c>
      <c r="C36" s="8">
        <v>8</v>
      </c>
      <c r="D36" s="8"/>
      <c r="E36" s="8"/>
      <c r="F36" s="8"/>
      <c r="G36" s="35"/>
      <c r="H36" s="8"/>
      <c r="I36" s="16"/>
      <c r="J36" s="35">
        <f>F36*G36+H36*I36</f>
        <v>0</v>
      </c>
      <c r="K36" s="16" t="e">
        <f>E36/(J36)</f>
        <v>#DIV/0!</v>
      </c>
      <c r="L36" s="3"/>
      <c r="M36" s="26">
        <f>E36+'6-29-22'!M36</f>
        <v>8</v>
      </c>
      <c r="N36" s="27">
        <f>M36/C36</f>
        <v>1</v>
      </c>
      <c r="O36" s="35">
        <f>J36+'6-29-22'!O36</f>
        <v>69</v>
      </c>
      <c r="P36" s="26">
        <f>M36/O36</f>
        <v>0.11594202898550725</v>
      </c>
    </row>
    <row r="37" spans="1:16" ht="15.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27"/>
      <c r="O37" s="3"/>
      <c r="P37" s="3"/>
    </row>
    <row r="38" spans="1:16" ht="15.6" x14ac:dyDescent="0.3">
      <c r="A38" s="3"/>
      <c r="B38" s="8" t="s">
        <v>50</v>
      </c>
      <c r="C38" s="8">
        <f>2760+480</f>
        <v>3240</v>
      </c>
      <c r="D38" s="8"/>
      <c r="E38" s="8"/>
      <c r="F38" s="8"/>
      <c r="G38" s="35"/>
      <c r="H38" s="8"/>
      <c r="I38" s="16"/>
      <c r="J38" s="35">
        <f>F38*G38+H38*I38</f>
        <v>0</v>
      </c>
      <c r="K38" s="16" t="e">
        <f>E38/(J38)</f>
        <v>#DIV/0!</v>
      </c>
      <c r="L38" s="3"/>
      <c r="M38" s="26">
        <f>E38+'6-29-22'!M38</f>
        <v>1635</v>
      </c>
      <c r="N38" s="27">
        <f>M38/C38</f>
        <v>0.50462962962962965</v>
      </c>
      <c r="O38" s="35">
        <f>J38+'6-29-22'!O38</f>
        <v>72</v>
      </c>
      <c r="P38" s="26">
        <f>M38/O38</f>
        <v>22.708333333333332</v>
      </c>
    </row>
    <row r="39" spans="1:16" ht="15.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7"/>
      <c r="O39" s="3"/>
      <c r="P39" s="3"/>
    </row>
    <row r="40" spans="1:16" ht="15.6" x14ac:dyDescent="0.3">
      <c r="A40" s="3"/>
      <c r="B40" s="8" t="s">
        <v>115</v>
      </c>
      <c r="C40" s="8">
        <v>123</v>
      </c>
      <c r="D40" s="8"/>
      <c r="E40" s="8"/>
      <c r="F40" s="8"/>
      <c r="G40" s="35"/>
      <c r="H40" s="8"/>
      <c r="I40" s="16"/>
      <c r="J40" s="35">
        <f>F40*G40+H40*I40</f>
        <v>0</v>
      </c>
      <c r="K40" s="16" t="e">
        <f>E40/(J40)</f>
        <v>#DIV/0!</v>
      </c>
      <c r="L40" s="3"/>
      <c r="M40" s="26">
        <f>E40+'6-29-22'!M40</f>
        <v>0</v>
      </c>
      <c r="N40" s="27">
        <f>M40/C40</f>
        <v>0</v>
      </c>
      <c r="O40" s="35">
        <f>J40+'6-29-22'!O40</f>
        <v>0</v>
      </c>
      <c r="P40" s="35" t="e">
        <f>M40/O40</f>
        <v>#DIV/0!</v>
      </c>
    </row>
    <row r="41" spans="1:16" ht="15.6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27"/>
      <c r="O41" s="3"/>
      <c r="P41" s="3"/>
    </row>
    <row r="42" spans="1:16" ht="15.6" x14ac:dyDescent="0.3">
      <c r="A42" s="3"/>
      <c r="B42" s="8" t="s">
        <v>113</v>
      </c>
      <c r="C42" s="8" t="s">
        <v>52</v>
      </c>
      <c r="D42" s="8"/>
      <c r="E42" s="8"/>
      <c r="F42" s="8"/>
      <c r="G42" s="35"/>
      <c r="H42" s="8"/>
      <c r="I42" s="16"/>
      <c r="J42" s="35">
        <f>F42*G42+H42*I42</f>
        <v>0</v>
      </c>
      <c r="K42" s="16" t="e">
        <f>E42/(J42)</f>
        <v>#DIV/0!</v>
      </c>
      <c r="L42" s="3"/>
      <c r="M42" s="26">
        <f>E42+'6-29-22'!M42</f>
        <v>0</v>
      </c>
      <c r="N42" s="53" t="e">
        <f>M42/C42</f>
        <v>#VALUE!</v>
      </c>
      <c r="O42" s="35">
        <f>J42+'6-29-22'!O42</f>
        <v>0</v>
      </c>
      <c r="P42" s="35" t="e">
        <f>M42/O42</f>
        <v>#DIV/0!</v>
      </c>
    </row>
    <row r="43" spans="1:16" ht="15.6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27"/>
      <c r="O43" s="3"/>
      <c r="P43" s="3"/>
    </row>
    <row r="44" spans="1:16" ht="15.6" x14ac:dyDescent="0.3">
      <c r="A44" s="3"/>
      <c r="B44" s="8" t="s">
        <v>114</v>
      </c>
      <c r="C44" s="8" t="s">
        <v>52</v>
      </c>
      <c r="D44" s="8"/>
      <c r="E44" s="8"/>
      <c r="F44" s="8"/>
      <c r="G44" s="35"/>
      <c r="H44" s="8"/>
      <c r="I44" s="16"/>
      <c r="J44" s="35">
        <f>F44*G44+H44*I44</f>
        <v>0</v>
      </c>
      <c r="K44" s="16" t="e">
        <f>E44/(J44)</f>
        <v>#DIV/0!</v>
      </c>
      <c r="L44" s="3"/>
      <c r="M44" s="26" t="e">
        <f>E44+'6-29-22'!M44</f>
        <v>#VALUE!</v>
      </c>
      <c r="N44" s="53" t="e">
        <f>M44/C44</f>
        <v>#VALUE!</v>
      </c>
      <c r="O44" s="35">
        <f>J44+'6-29-22'!O44</f>
        <v>99</v>
      </c>
      <c r="P44" s="26" t="e">
        <f>M44/O44</f>
        <v>#VALUE!</v>
      </c>
    </row>
    <row r="45" spans="1:16" ht="15.6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27"/>
      <c r="O45" s="3"/>
      <c r="P45" s="3"/>
    </row>
    <row r="46" spans="1:16" ht="15.6" x14ac:dyDescent="0.3">
      <c r="A46" s="3"/>
      <c r="B46" s="8" t="s">
        <v>75</v>
      </c>
      <c r="C46" s="8"/>
      <c r="D46" s="8"/>
      <c r="E46" s="8"/>
      <c r="F46" s="8"/>
      <c r="G46" s="35"/>
      <c r="H46" s="8"/>
      <c r="I46" s="16"/>
      <c r="J46" s="35">
        <f>F46*G46+H46*I46</f>
        <v>0</v>
      </c>
      <c r="K46" s="16" t="e">
        <f>E46/(J46)</f>
        <v>#DIV/0!</v>
      </c>
      <c r="L46" s="3"/>
      <c r="M46" s="26">
        <f>E46+'6-29-22'!M46</f>
        <v>0</v>
      </c>
      <c r="N46" s="53" t="e">
        <f>M46/C46</f>
        <v>#DIV/0!</v>
      </c>
      <c r="O46" s="35">
        <f>J46+'6-29-22'!O46</f>
        <v>253.5</v>
      </c>
      <c r="P46" s="26">
        <f>M46/O46</f>
        <v>0</v>
      </c>
    </row>
    <row r="47" spans="1:16" ht="15.6" x14ac:dyDescent="0.3">
      <c r="A47" s="3"/>
      <c r="B47" s="3" t="s">
        <v>27</v>
      </c>
      <c r="C47" s="3"/>
      <c r="D47" s="3" t="s">
        <v>52</v>
      </c>
      <c r="E47" s="3"/>
      <c r="F47" s="3"/>
      <c r="G47" s="3"/>
      <c r="H47" s="30"/>
      <c r="I47" s="4"/>
      <c r="J47" s="3">
        <f>J20+J22+J24+J26+J28+J30+J32+J34+J36+J38+J40+J42+J44+J46</f>
        <v>81</v>
      </c>
      <c r="K47" s="3"/>
      <c r="L47" s="3"/>
      <c r="M47" s="3"/>
      <c r="N47" s="3"/>
      <c r="O47" s="3">
        <f>O20+O22+O24+O26+O28+O30+O32+O34+O36+O38+O40+O42+O44+O46</f>
        <v>3402.5</v>
      </c>
      <c r="P47" s="3"/>
    </row>
    <row r="48" spans="1:16" ht="15.6" x14ac:dyDescent="0.3">
      <c r="A48" s="3"/>
      <c r="B48" s="3"/>
      <c r="C48" s="3"/>
      <c r="D48" s="3"/>
      <c r="E48" s="3"/>
      <c r="F48" s="3"/>
      <c r="G48" s="3"/>
      <c r="H48" s="3"/>
      <c r="I48" s="4"/>
      <c r="J48" s="3"/>
      <c r="K48" s="3"/>
      <c r="L48" s="3"/>
      <c r="M48" s="3"/>
      <c r="N48" s="3"/>
      <c r="O48" s="3"/>
      <c r="P48" s="3"/>
    </row>
    <row r="49" spans="1:16" ht="15.6" x14ac:dyDescent="0.3">
      <c r="A49" s="3"/>
      <c r="B49" s="3" t="s">
        <v>28</v>
      </c>
      <c r="C49" s="3" t="s">
        <v>245</v>
      </c>
      <c r="D49" s="3"/>
      <c r="E49" s="3"/>
      <c r="F49" s="3"/>
      <c r="G49" s="3"/>
      <c r="H49" s="3"/>
      <c r="I49" s="4"/>
      <c r="J49" s="3"/>
      <c r="K49" s="3"/>
      <c r="L49" s="3"/>
      <c r="M49" s="3"/>
      <c r="N49" s="3"/>
      <c r="O49" s="3"/>
      <c r="P49" s="3"/>
    </row>
    <row r="50" spans="1:16" ht="15.6" x14ac:dyDescent="0.3">
      <c r="C50" s="33"/>
    </row>
    <row r="51" spans="1:16" ht="15.6" x14ac:dyDescent="0.3">
      <c r="B51" s="3" t="s">
        <v>32</v>
      </c>
      <c r="C51" s="33" t="s">
        <v>243</v>
      </c>
    </row>
    <row r="52" spans="1:16" ht="15.6" x14ac:dyDescent="0.3">
      <c r="C52" s="33"/>
    </row>
    <row r="53" spans="1:16" ht="15.6" x14ac:dyDescent="0.3">
      <c r="B53" s="3" t="s">
        <v>33</v>
      </c>
      <c r="C53" s="3" t="s">
        <v>244</v>
      </c>
    </row>
    <row r="54" spans="1:16" ht="15.6" x14ac:dyDescent="0.3">
      <c r="C54" s="33"/>
    </row>
    <row r="55" spans="1:16" ht="15.6" x14ac:dyDescent="0.3">
      <c r="C55" s="33" t="s">
        <v>52</v>
      </c>
    </row>
    <row r="57" spans="1:16" x14ac:dyDescent="0.3">
      <c r="C57" t="s">
        <v>52</v>
      </c>
      <c r="D57" t="s">
        <v>52</v>
      </c>
    </row>
    <row r="58" spans="1:16" x14ac:dyDescent="0.3">
      <c r="C58" t="s">
        <v>52</v>
      </c>
      <c r="D58" t="s">
        <v>52</v>
      </c>
    </row>
  </sheetData>
  <mergeCells count="3">
    <mergeCell ref="A1:G1"/>
    <mergeCell ref="H7:I7"/>
    <mergeCell ref="L7:M7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8D758-61EA-4820-B1BC-987B9F987EF6}">
  <dimension ref="A1:R58"/>
  <sheetViews>
    <sheetView topLeftCell="A4" zoomScale="85" zoomScaleNormal="85" workbookViewId="0">
      <selection activeCell="J17" sqref="J17"/>
    </sheetView>
  </sheetViews>
  <sheetFormatPr defaultRowHeight="14.4" x14ac:dyDescent="0.3"/>
  <cols>
    <col min="1" max="1" width="11.33203125" customWidth="1"/>
    <col min="2" max="2" width="29.33203125" customWidth="1"/>
    <col min="3" max="3" width="22.109375" customWidth="1"/>
    <col min="4" max="4" width="14.88671875" customWidth="1"/>
    <col min="5" max="5" width="16.6640625" customWidth="1"/>
    <col min="6" max="6" width="17.44140625" customWidth="1"/>
    <col min="8" max="8" width="20.44140625" customWidth="1"/>
    <col min="13" max="13" width="10.6640625" customWidth="1"/>
    <col min="14" max="14" width="10" bestFit="1" customWidth="1"/>
    <col min="15" max="15" width="10.6640625" customWidth="1"/>
    <col min="18" max="18" width="9.6640625" bestFit="1" customWidth="1"/>
  </cols>
  <sheetData>
    <row r="1" spans="1:18" ht="18" x14ac:dyDescent="0.35">
      <c r="A1" s="66" t="s">
        <v>0</v>
      </c>
      <c r="B1" s="66"/>
      <c r="C1" s="66"/>
      <c r="D1" s="66"/>
      <c r="E1" s="66"/>
      <c r="F1" s="66"/>
      <c r="G1" s="66"/>
      <c r="H1" s="1"/>
      <c r="I1" s="2"/>
      <c r="J1" s="1"/>
      <c r="K1" s="1"/>
      <c r="L1" s="1"/>
      <c r="M1" s="1"/>
      <c r="N1" s="1"/>
      <c r="O1" s="1"/>
      <c r="P1" s="1"/>
    </row>
    <row r="2" spans="1:18" ht="15.6" x14ac:dyDescent="0.3">
      <c r="A2" s="3"/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</row>
    <row r="3" spans="1:18" ht="15.6" x14ac:dyDescent="0.3">
      <c r="A3" s="3"/>
      <c r="B3" s="5" t="s">
        <v>1</v>
      </c>
      <c r="C3" s="6" t="s">
        <v>43</v>
      </c>
      <c r="D3" s="7"/>
      <c r="E3" s="3"/>
      <c r="F3" s="5" t="s">
        <v>2</v>
      </c>
      <c r="G3" s="8">
        <v>4355</v>
      </c>
      <c r="H3" s="34" t="s">
        <v>41</v>
      </c>
      <c r="I3" s="35">
        <v>49</v>
      </c>
      <c r="J3" s="3"/>
      <c r="K3" s="3"/>
      <c r="L3" s="3"/>
      <c r="N3" s="3" t="s">
        <v>163</v>
      </c>
      <c r="O3" s="3"/>
      <c r="P3" s="3"/>
      <c r="Q3" s="61" t="s">
        <v>196</v>
      </c>
      <c r="R3" s="62">
        <v>44702</v>
      </c>
    </row>
    <row r="4" spans="1:18" ht="15.6" x14ac:dyDescent="0.3">
      <c r="A4" s="3"/>
      <c r="B4" s="5" t="s">
        <v>3</v>
      </c>
      <c r="C4" s="37">
        <v>300155</v>
      </c>
      <c r="D4" s="7"/>
      <c r="E4" s="3"/>
      <c r="F4" s="5" t="s">
        <v>4</v>
      </c>
      <c r="G4" s="56">
        <f>J16+'6-28-22'!G4</f>
        <v>3321.5</v>
      </c>
      <c r="H4" s="34" t="s">
        <v>42</v>
      </c>
      <c r="I4" s="16">
        <v>45</v>
      </c>
      <c r="J4" s="58"/>
      <c r="K4" s="3"/>
      <c r="L4" s="3"/>
      <c r="M4" s="3"/>
      <c r="N4" s="3"/>
      <c r="O4" s="3"/>
      <c r="P4" s="3" t="s">
        <v>52</v>
      </c>
      <c r="Q4" s="61" t="s">
        <v>196</v>
      </c>
      <c r="R4" s="62">
        <v>44732</v>
      </c>
    </row>
    <row r="5" spans="1:18" ht="15.6" x14ac:dyDescent="0.3">
      <c r="A5" s="3"/>
      <c r="B5" s="5" t="s">
        <v>5</v>
      </c>
      <c r="C5" s="38">
        <v>44741</v>
      </c>
      <c r="D5" s="3"/>
      <c r="E5" s="3"/>
      <c r="F5" s="3"/>
      <c r="G5" s="59">
        <f>G4/G3</f>
        <v>0.76268656716417915</v>
      </c>
      <c r="H5" s="3"/>
      <c r="I5" s="60">
        <f>I4/I3</f>
        <v>0.91836734693877553</v>
      </c>
      <c r="J5" s="3"/>
      <c r="K5" s="3"/>
      <c r="L5" s="3"/>
      <c r="M5" s="3"/>
      <c r="N5" s="3"/>
      <c r="O5" s="3"/>
      <c r="P5" s="3"/>
      <c r="Q5" s="61"/>
      <c r="R5" s="61"/>
    </row>
    <row r="6" spans="1:18" ht="15.6" x14ac:dyDescent="0.3">
      <c r="A6" s="3"/>
      <c r="B6" s="5"/>
      <c r="C6" s="3"/>
      <c r="D6" s="3"/>
      <c r="E6" s="3"/>
      <c r="F6" s="3"/>
      <c r="G6" s="3"/>
      <c r="H6" s="3"/>
      <c r="I6" s="4"/>
      <c r="J6" s="3"/>
      <c r="K6" s="30"/>
      <c r="L6" s="3"/>
      <c r="M6" s="3"/>
      <c r="N6" s="3"/>
      <c r="O6" s="3"/>
      <c r="P6" s="3"/>
      <c r="Q6" s="61"/>
      <c r="R6" s="61"/>
    </row>
    <row r="7" spans="1:18" ht="15.6" x14ac:dyDescent="0.3">
      <c r="A7" s="10" t="s">
        <v>6</v>
      </c>
      <c r="B7" s="11"/>
      <c r="C7" s="12" t="s">
        <v>7</v>
      </c>
      <c r="D7" s="3"/>
      <c r="E7" s="12" t="s">
        <v>8</v>
      </c>
      <c r="F7" s="12" t="s">
        <v>34</v>
      </c>
      <c r="G7" s="3"/>
      <c r="H7" s="67" t="s">
        <v>7</v>
      </c>
      <c r="I7" s="67"/>
      <c r="J7" s="12" t="s">
        <v>8</v>
      </c>
      <c r="K7" s="3"/>
      <c r="L7" s="3"/>
      <c r="M7" s="3"/>
      <c r="N7" s="3"/>
      <c r="O7" s="3"/>
      <c r="P7" s="3"/>
      <c r="Q7" s="61"/>
      <c r="R7" s="61"/>
    </row>
    <row r="8" spans="1:18" ht="15.6" x14ac:dyDescent="0.3">
      <c r="A8" s="13">
        <v>1</v>
      </c>
      <c r="B8" s="5" t="s">
        <v>9</v>
      </c>
      <c r="C8" s="14" t="s">
        <v>35</v>
      </c>
      <c r="D8" s="15"/>
      <c r="E8" s="35">
        <v>9</v>
      </c>
      <c r="F8" s="16">
        <v>66</v>
      </c>
      <c r="G8" s="11">
        <v>9</v>
      </c>
      <c r="H8" s="14" t="s">
        <v>40</v>
      </c>
      <c r="I8" s="8"/>
      <c r="J8" s="35">
        <v>9</v>
      </c>
      <c r="K8" s="3"/>
      <c r="L8" s="3"/>
      <c r="M8" s="3"/>
      <c r="N8" s="3"/>
      <c r="O8" s="3"/>
      <c r="P8" s="3"/>
      <c r="Q8" s="61"/>
      <c r="R8" s="61"/>
    </row>
    <row r="9" spans="1:18" ht="15.6" x14ac:dyDescent="0.3">
      <c r="A9" s="13">
        <v>2</v>
      </c>
      <c r="B9" s="5" t="s">
        <v>10</v>
      </c>
      <c r="C9" s="14" t="s">
        <v>37</v>
      </c>
      <c r="D9" s="8"/>
      <c r="E9" s="35">
        <v>9</v>
      </c>
      <c r="F9" s="16"/>
      <c r="G9" s="11">
        <v>10</v>
      </c>
      <c r="H9" s="14"/>
      <c r="I9" s="8"/>
      <c r="J9" s="39"/>
      <c r="K9" s="3"/>
      <c r="L9" s="3"/>
      <c r="M9" s="3"/>
      <c r="N9" s="3"/>
      <c r="O9" s="3"/>
      <c r="P9" s="3"/>
      <c r="Q9" s="61"/>
      <c r="R9" s="61"/>
    </row>
    <row r="10" spans="1:18" ht="15.6" x14ac:dyDescent="0.3">
      <c r="A10" s="13">
        <v>3</v>
      </c>
      <c r="B10" s="5" t="s">
        <v>11</v>
      </c>
      <c r="C10" s="14" t="s">
        <v>36</v>
      </c>
      <c r="D10" s="8"/>
      <c r="E10" s="35">
        <v>9</v>
      </c>
      <c r="F10" s="16">
        <v>78</v>
      </c>
      <c r="G10" s="11">
        <v>11</v>
      </c>
      <c r="H10" s="3"/>
      <c r="I10" s="8"/>
      <c r="J10" s="39"/>
      <c r="K10" s="3"/>
      <c r="L10" s="3"/>
      <c r="M10" s="3"/>
      <c r="N10" s="3"/>
      <c r="O10" s="3"/>
      <c r="P10" s="3"/>
      <c r="Q10" s="61"/>
      <c r="R10" s="61"/>
    </row>
    <row r="11" spans="1:18" ht="15.6" x14ac:dyDescent="0.3">
      <c r="A11" s="13">
        <v>4</v>
      </c>
      <c r="B11" s="5" t="s">
        <v>12</v>
      </c>
      <c r="C11" s="14" t="s">
        <v>29</v>
      </c>
      <c r="D11" s="8"/>
      <c r="E11" s="35">
        <v>9</v>
      </c>
      <c r="F11" s="16"/>
      <c r="G11" s="11">
        <v>12</v>
      </c>
      <c r="H11" s="3"/>
      <c r="I11" s="8"/>
      <c r="J11" s="39"/>
      <c r="K11" s="3"/>
      <c r="L11" s="3"/>
      <c r="M11" s="3"/>
      <c r="N11" s="3"/>
      <c r="O11" s="3"/>
      <c r="P11" s="3"/>
      <c r="Q11" s="61"/>
      <c r="R11" s="61"/>
    </row>
    <row r="12" spans="1:18" ht="15.6" x14ac:dyDescent="0.3">
      <c r="A12" s="13">
        <v>5</v>
      </c>
      <c r="B12" s="3"/>
      <c r="C12" s="31" t="s">
        <v>30</v>
      </c>
      <c r="D12" s="8"/>
      <c r="E12" s="35">
        <v>9</v>
      </c>
      <c r="F12" s="16"/>
      <c r="G12" s="11">
        <v>13</v>
      </c>
      <c r="H12" s="3"/>
      <c r="I12" s="8"/>
      <c r="J12" s="39"/>
      <c r="K12" s="3"/>
      <c r="L12" s="3"/>
      <c r="M12" s="3"/>
      <c r="N12" s="3"/>
      <c r="O12" s="3"/>
      <c r="P12" s="3"/>
    </row>
    <row r="13" spans="1:18" ht="15.6" x14ac:dyDescent="0.3">
      <c r="A13" s="13">
        <v>6</v>
      </c>
      <c r="B13" s="3"/>
      <c r="C13" s="14" t="s">
        <v>31</v>
      </c>
      <c r="D13" s="8"/>
      <c r="E13" s="35">
        <v>9</v>
      </c>
      <c r="F13" s="16">
        <v>74</v>
      </c>
      <c r="G13" s="11">
        <v>14</v>
      </c>
      <c r="H13" s="18"/>
      <c r="I13" s="8"/>
      <c r="J13" s="39"/>
      <c r="K13" s="3"/>
      <c r="L13" s="3"/>
      <c r="M13" s="3"/>
      <c r="N13" s="3"/>
      <c r="O13" s="3"/>
      <c r="P13" s="3"/>
    </row>
    <row r="14" spans="1:18" ht="15.6" x14ac:dyDescent="0.3">
      <c r="A14" s="13">
        <v>7</v>
      </c>
      <c r="B14" s="5" t="s">
        <v>52</v>
      </c>
      <c r="C14" s="14" t="s">
        <v>39</v>
      </c>
      <c r="D14" s="8"/>
      <c r="E14" s="35">
        <v>9</v>
      </c>
      <c r="F14" s="16"/>
      <c r="G14" s="11">
        <v>15</v>
      </c>
      <c r="H14" s="3"/>
      <c r="I14" s="8"/>
      <c r="J14" s="39"/>
      <c r="K14" s="3"/>
      <c r="L14" s="3"/>
      <c r="M14" s="3"/>
      <c r="N14" s="3"/>
      <c r="O14" s="3"/>
      <c r="P14" s="3"/>
    </row>
    <row r="15" spans="1:18" ht="15.6" x14ac:dyDescent="0.3">
      <c r="A15" s="13">
        <v>8</v>
      </c>
      <c r="B15" s="3"/>
      <c r="C15" s="14" t="s">
        <v>38</v>
      </c>
      <c r="D15" s="8"/>
      <c r="E15" s="35">
        <v>9</v>
      </c>
      <c r="F15" s="16"/>
      <c r="G15" s="11">
        <v>16</v>
      </c>
      <c r="H15" s="3"/>
      <c r="I15" s="8"/>
      <c r="J15" s="39"/>
      <c r="K15" s="3"/>
      <c r="L15" s="3"/>
      <c r="M15" s="3"/>
      <c r="N15" s="3"/>
      <c r="O15" s="3"/>
      <c r="P15" s="3"/>
    </row>
    <row r="16" spans="1:18" ht="15.6" x14ac:dyDescent="0.3">
      <c r="A16" s="3"/>
      <c r="B16" s="3"/>
      <c r="C16" s="3"/>
      <c r="D16" s="3"/>
      <c r="E16" s="3"/>
      <c r="F16" s="3"/>
      <c r="G16" s="13"/>
      <c r="H16" s="7" t="s">
        <v>13</v>
      </c>
      <c r="I16" s="3"/>
      <c r="J16" s="8">
        <f>SUM(E8:E15)+SUM(J8:J15)</f>
        <v>81</v>
      </c>
      <c r="K16" s="3"/>
      <c r="L16" s="3"/>
      <c r="M16" s="3"/>
      <c r="N16" s="3"/>
      <c r="O16" s="3"/>
      <c r="P16" s="3"/>
    </row>
    <row r="17" spans="1:16" ht="15.6" x14ac:dyDescent="0.3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  <c r="L17" s="3"/>
      <c r="M17" s="3"/>
      <c r="N17" s="3"/>
      <c r="O17" s="3"/>
      <c r="P17" s="3"/>
    </row>
    <row r="18" spans="1:16" ht="93.6" x14ac:dyDescent="0.3">
      <c r="A18" s="19"/>
      <c r="B18" s="20" t="s">
        <v>14</v>
      </c>
      <c r="C18" s="21" t="s">
        <v>15</v>
      </c>
      <c r="D18" s="22" t="s">
        <v>16</v>
      </c>
      <c r="E18" s="22" t="s">
        <v>17</v>
      </c>
      <c r="F18" s="22" t="s">
        <v>18</v>
      </c>
      <c r="G18" s="22" t="s">
        <v>19</v>
      </c>
      <c r="H18" s="22" t="s">
        <v>18</v>
      </c>
      <c r="I18" s="22" t="s">
        <v>19</v>
      </c>
      <c r="J18" s="22" t="s">
        <v>20</v>
      </c>
      <c r="K18" s="23" t="s">
        <v>21</v>
      </c>
      <c r="L18" s="24"/>
      <c r="M18" s="23" t="s">
        <v>22</v>
      </c>
      <c r="N18" s="23" t="s">
        <v>23</v>
      </c>
      <c r="O18" s="23" t="s">
        <v>24</v>
      </c>
      <c r="P18" s="23" t="s">
        <v>25</v>
      </c>
    </row>
    <row r="19" spans="1:16" ht="15.6" x14ac:dyDescent="0.3">
      <c r="A19" s="19"/>
      <c r="B19" s="19"/>
      <c r="C19" s="24"/>
      <c r="D19" s="24"/>
      <c r="E19" s="24"/>
      <c r="F19" s="24"/>
      <c r="G19" s="24"/>
      <c r="H19" s="24"/>
      <c r="I19" s="24"/>
      <c r="J19" s="24"/>
      <c r="K19" s="25"/>
      <c r="L19" s="24"/>
      <c r="M19" s="3"/>
      <c r="N19" s="3"/>
      <c r="O19" s="3"/>
      <c r="P19" s="3"/>
    </row>
    <row r="20" spans="1:16" ht="15.6" x14ac:dyDescent="0.3">
      <c r="A20" s="3"/>
      <c r="B20" s="8" t="s">
        <v>26</v>
      </c>
      <c r="C20" s="8">
        <v>1</v>
      </c>
      <c r="D20" s="8">
        <v>1</v>
      </c>
      <c r="E20" s="8"/>
      <c r="F20" s="8"/>
      <c r="G20" s="35">
        <v>0</v>
      </c>
      <c r="H20" s="8"/>
      <c r="I20" s="16"/>
      <c r="J20" s="35">
        <f>F20*G20+H20*I20</f>
        <v>0</v>
      </c>
      <c r="K20" s="16" t="e">
        <f>E20/(J20)</f>
        <v>#DIV/0!</v>
      </c>
      <c r="L20" s="3"/>
      <c r="M20" s="26">
        <v>0</v>
      </c>
      <c r="N20" s="27">
        <f>M20/C20</f>
        <v>0</v>
      </c>
      <c r="O20" s="35">
        <f>J20+'6-28-22'!O20</f>
        <v>108</v>
      </c>
      <c r="P20" s="26">
        <f>M20/O20</f>
        <v>0</v>
      </c>
    </row>
    <row r="21" spans="1:16" ht="15.6" x14ac:dyDescent="0.3">
      <c r="A21" s="3"/>
      <c r="B21" s="3"/>
      <c r="C21" s="3"/>
      <c r="D21" s="3"/>
      <c r="E21" s="3"/>
      <c r="F21" s="3"/>
      <c r="G21" s="40"/>
      <c r="H21" s="3"/>
      <c r="I21" s="28"/>
      <c r="J21" s="40"/>
      <c r="K21" s="28"/>
      <c r="L21" s="3"/>
      <c r="M21" s="29"/>
      <c r="N21" s="3"/>
      <c r="O21" s="3"/>
      <c r="P21" s="3"/>
    </row>
    <row r="22" spans="1:16" ht="15.6" x14ac:dyDescent="0.3">
      <c r="A22" s="3"/>
      <c r="B22" s="8" t="s">
        <v>53</v>
      </c>
      <c r="C22" s="8">
        <v>125400</v>
      </c>
      <c r="D22" s="41"/>
      <c r="E22" s="41"/>
      <c r="F22" s="8"/>
      <c r="G22" s="35"/>
      <c r="H22" s="8"/>
      <c r="I22" s="16"/>
      <c r="J22" s="35">
        <f>F22*G22+H22*I22</f>
        <v>0</v>
      </c>
      <c r="K22" s="16" t="e">
        <f>E22/(J22)</f>
        <v>#DIV/0!</v>
      </c>
      <c r="L22" s="3"/>
      <c r="M22" s="26">
        <f>E22+'6-28-22'!M22</f>
        <v>125400</v>
      </c>
      <c r="N22" s="27">
        <f>M22/C22</f>
        <v>1</v>
      </c>
      <c r="O22" s="35">
        <f>J22+'6-28-22'!O22</f>
        <v>679.75</v>
      </c>
      <c r="P22" s="26">
        <f>M22/O22</f>
        <v>184.47958808385437</v>
      </c>
    </row>
    <row r="23" spans="1:16" ht="15.6" x14ac:dyDescent="0.3">
      <c r="A23" s="3"/>
      <c r="B23" s="3"/>
      <c r="C23" s="3"/>
      <c r="D23" s="3"/>
      <c r="E23" s="3"/>
      <c r="F23" s="3"/>
      <c r="G23" s="40"/>
      <c r="H23" s="3"/>
      <c r="I23" s="28"/>
      <c r="J23" s="40"/>
      <c r="K23" s="28"/>
      <c r="L23" s="3"/>
      <c r="M23" s="29"/>
      <c r="N23" s="3"/>
      <c r="O23" s="36"/>
      <c r="P23" s="29"/>
    </row>
    <row r="24" spans="1:16" ht="15.6" x14ac:dyDescent="0.3">
      <c r="A24" s="3"/>
      <c r="B24" s="8" t="s">
        <v>54</v>
      </c>
      <c r="C24" s="8">
        <v>125400</v>
      </c>
      <c r="D24" s="8"/>
      <c r="E24" s="8"/>
      <c r="F24" s="8"/>
      <c r="G24" s="35"/>
      <c r="H24" s="8"/>
      <c r="I24" s="16"/>
      <c r="J24" s="35">
        <f>F24*G24+H24*I24</f>
        <v>0</v>
      </c>
      <c r="K24" s="16" t="e">
        <f>E24/(J24)</f>
        <v>#DIV/0!</v>
      </c>
      <c r="L24" s="3"/>
      <c r="M24" s="26">
        <f>E24+'6-28-22'!M24</f>
        <v>125400</v>
      </c>
      <c r="N24" s="27">
        <f>M24/C24</f>
        <v>1</v>
      </c>
      <c r="O24" s="35">
        <f>J24+'6-28-22'!O24</f>
        <v>449.75</v>
      </c>
      <c r="P24" s="26">
        <f>M24/O24</f>
        <v>278.82156753752082</v>
      </c>
    </row>
    <row r="25" spans="1:16" ht="15.6" x14ac:dyDescent="0.3">
      <c r="A25" s="3"/>
      <c r="B25" s="3"/>
      <c r="C25" s="3"/>
      <c r="D25" s="3"/>
      <c r="E25" s="3"/>
      <c r="F25" s="3"/>
      <c r="G25" s="36"/>
      <c r="H25" s="3"/>
      <c r="I25" s="4"/>
      <c r="J25" s="36"/>
      <c r="K25" s="4"/>
      <c r="L25" s="3"/>
      <c r="M25" s="29"/>
      <c r="N25" s="3"/>
      <c r="O25" s="3"/>
      <c r="P25" s="3"/>
    </row>
    <row r="26" spans="1:16" ht="15.6" x14ac:dyDescent="0.3">
      <c r="A26" s="3"/>
      <c r="B26" s="8" t="s">
        <v>44</v>
      </c>
      <c r="C26" s="8">
        <v>3040</v>
      </c>
      <c r="D26" s="8"/>
      <c r="E26" s="8"/>
      <c r="F26" s="8"/>
      <c r="G26" s="35"/>
      <c r="H26" s="8"/>
      <c r="I26" s="16"/>
      <c r="J26" s="35">
        <f>F26*G26+H26*I26</f>
        <v>0</v>
      </c>
      <c r="K26" s="16" t="e">
        <f>E26/(J26)</f>
        <v>#DIV/0!</v>
      </c>
      <c r="L26" s="3"/>
      <c r="M26" s="26">
        <f>E26+'6-28-22'!M26</f>
        <v>3040</v>
      </c>
      <c r="N26" s="27">
        <f>M26/C26</f>
        <v>1</v>
      </c>
      <c r="O26" s="35">
        <f>J26+'6-28-22'!O26</f>
        <v>121.25</v>
      </c>
      <c r="P26" s="26">
        <f>M26/O26</f>
        <v>25.072164948453608</v>
      </c>
    </row>
    <row r="27" spans="1:16" ht="15.6" x14ac:dyDescent="0.3">
      <c r="A27" s="3"/>
      <c r="B27" s="3"/>
      <c r="C27" s="3"/>
      <c r="D27" s="3"/>
      <c r="E27" s="3"/>
      <c r="F27" s="3"/>
      <c r="G27" s="36"/>
      <c r="H27" s="3"/>
      <c r="I27" s="4"/>
      <c r="J27" s="36"/>
      <c r="K27" s="4"/>
      <c r="L27" s="3"/>
      <c r="M27" s="29"/>
      <c r="N27" s="3"/>
      <c r="O27" s="3"/>
      <c r="P27" s="3"/>
    </row>
    <row r="28" spans="1:16" ht="15.6" x14ac:dyDescent="0.3">
      <c r="A28" s="3"/>
      <c r="B28" s="8" t="s">
        <v>45</v>
      </c>
      <c r="C28" s="8">
        <v>3040</v>
      </c>
      <c r="D28" s="8"/>
      <c r="E28" s="8">
        <v>285</v>
      </c>
      <c r="F28" s="8">
        <v>9</v>
      </c>
      <c r="G28" s="35">
        <v>6</v>
      </c>
      <c r="H28" s="8"/>
      <c r="I28" s="35"/>
      <c r="J28" s="35">
        <f>F28*G28+H28*I28</f>
        <v>54</v>
      </c>
      <c r="K28" s="16">
        <f>E28/(J28)</f>
        <v>5.2777777777777777</v>
      </c>
      <c r="L28" s="3"/>
      <c r="M28" s="26">
        <f>E28+'6-28-22'!M28</f>
        <v>2162</v>
      </c>
      <c r="N28" s="27">
        <f>M28/C28</f>
        <v>0.71118421052631575</v>
      </c>
      <c r="O28" s="35">
        <f>J28+'6-28-22'!O28</f>
        <v>567.25</v>
      </c>
      <c r="P28" s="26">
        <f>M28/O28</f>
        <v>3.8113706478624945</v>
      </c>
    </row>
    <row r="29" spans="1:16" ht="15.6" x14ac:dyDescent="0.3">
      <c r="A29" s="3"/>
      <c r="B29" s="3"/>
      <c r="C29" s="3"/>
      <c r="D29" s="3"/>
      <c r="E29" s="3"/>
      <c r="F29" s="3"/>
      <c r="G29" s="36"/>
      <c r="H29" s="3"/>
      <c r="I29" s="4"/>
      <c r="J29" s="36"/>
      <c r="K29" s="4"/>
      <c r="L29" s="3"/>
      <c r="M29" s="29"/>
      <c r="N29" s="3"/>
      <c r="O29" s="3"/>
      <c r="P29" s="3"/>
    </row>
    <row r="30" spans="1:16" ht="15.6" x14ac:dyDescent="0.3">
      <c r="A30" s="3"/>
      <c r="B30" s="8" t="s">
        <v>47</v>
      </c>
      <c r="C30" s="8">
        <v>123400</v>
      </c>
      <c r="D30" s="8"/>
      <c r="E30" s="8"/>
      <c r="F30" s="8"/>
      <c r="G30" s="35"/>
      <c r="H30" s="8"/>
      <c r="I30" s="35"/>
      <c r="J30" s="35">
        <f>F30*G30+H30*I30</f>
        <v>0</v>
      </c>
      <c r="K30" s="16" t="e">
        <f>E30/(J30)</f>
        <v>#DIV/0!</v>
      </c>
      <c r="L30" s="3"/>
      <c r="M30" s="26">
        <f>E30+'6-28-22'!M30</f>
        <v>123400</v>
      </c>
      <c r="N30" s="27">
        <f>M30/C30</f>
        <v>1</v>
      </c>
      <c r="O30" s="35">
        <f>J30+'6-28-22'!O30</f>
        <v>645.5</v>
      </c>
      <c r="P30" s="26">
        <f>M30/O30</f>
        <v>191.16963594113091</v>
      </c>
    </row>
    <row r="31" spans="1:16" ht="15.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7"/>
      <c r="O31" s="3"/>
      <c r="P31" s="3"/>
    </row>
    <row r="32" spans="1:16" ht="15.6" x14ac:dyDescent="0.3">
      <c r="A32" s="3"/>
      <c r="B32" s="8" t="s">
        <v>46</v>
      </c>
      <c r="C32" s="8">
        <v>303</v>
      </c>
      <c r="D32" s="8"/>
      <c r="E32" s="8"/>
      <c r="F32" s="8"/>
      <c r="G32" s="35"/>
      <c r="H32" s="8"/>
      <c r="I32" s="16"/>
      <c r="J32" s="35">
        <f>F32*G32+H32*I32</f>
        <v>0</v>
      </c>
      <c r="K32" s="16" t="e">
        <f>E32/(J32)</f>
        <v>#DIV/0!</v>
      </c>
      <c r="L32" s="3"/>
      <c r="M32" s="26">
        <f>E32+'6-28-22'!M32</f>
        <v>303</v>
      </c>
      <c r="N32" s="27">
        <f>M32/C32</f>
        <v>1</v>
      </c>
      <c r="O32" s="35">
        <f>J32+'6-28-22'!O32</f>
        <v>166.5</v>
      </c>
      <c r="P32" s="26">
        <f>M32/O32</f>
        <v>1.8198198198198199</v>
      </c>
    </row>
    <row r="33" spans="1:16" ht="15.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7"/>
      <c r="O33" s="3"/>
      <c r="P33" s="3"/>
    </row>
    <row r="34" spans="1:16" ht="15.6" x14ac:dyDescent="0.3">
      <c r="A34" s="3"/>
      <c r="B34" s="8" t="s">
        <v>48</v>
      </c>
      <c r="C34" s="8">
        <v>115000</v>
      </c>
      <c r="D34" s="8" t="s">
        <v>224</v>
      </c>
      <c r="E34" s="8"/>
      <c r="F34" s="8">
        <v>9</v>
      </c>
      <c r="G34" s="35">
        <v>3</v>
      </c>
      <c r="H34" s="8"/>
      <c r="I34" s="16"/>
      <c r="J34" s="35">
        <f>F34*G34+H34*I34</f>
        <v>27</v>
      </c>
      <c r="K34" s="16">
        <f>E34/(J34)</f>
        <v>0</v>
      </c>
      <c r="L34" s="3"/>
      <c r="M34" s="26">
        <f>E34+'6-28-22'!M34</f>
        <v>0</v>
      </c>
      <c r="N34" s="27">
        <f>M34/C34</f>
        <v>0</v>
      </c>
      <c r="O34" s="35">
        <f>J34+'6-28-22'!O34</f>
        <v>90</v>
      </c>
      <c r="P34" s="26">
        <f>M34/O34</f>
        <v>0</v>
      </c>
    </row>
    <row r="35" spans="1:16" ht="15.6" x14ac:dyDescent="0.3">
      <c r="A35" s="3"/>
      <c r="B35" s="3"/>
      <c r="C35" s="3"/>
      <c r="D35" s="3" t="s">
        <v>228</v>
      </c>
      <c r="E35" s="3"/>
      <c r="F35" s="3"/>
      <c r="G35" s="3"/>
      <c r="H35" s="3"/>
      <c r="I35" s="3"/>
      <c r="J35" s="3"/>
      <c r="K35" s="3"/>
      <c r="L35" s="3"/>
      <c r="M35" s="3"/>
      <c r="N35" s="27"/>
      <c r="O35" s="3"/>
      <c r="P35" s="3"/>
    </row>
    <row r="36" spans="1:16" ht="15.6" x14ac:dyDescent="0.3">
      <c r="A36" s="3"/>
      <c r="B36" s="8" t="s">
        <v>49</v>
      </c>
      <c r="C36" s="8">
        <v>8</v>
      </c>
      <c r="D36" s="8"/>
      <c r="E36" s="8"/>
      <c r="F36" s="8"/>
      <c r="G36" s="35"/>
      <c r="H36" s="8"/>
      <c r="I36" s="16"/>
      <c r="J36" s="35">
        <f>F36*G36+H36*I36</f>
        <v>0</v>
      </c>
      <c r="K36" s="16" t="e">
        <f>E36/(J36)</f>
        <v>#DIV/0!</v>
      </c>
      <c r="L36" s="3"/>
      <c r="M36" s="26">
        <f>E36+'6-28-22'!M36</f>
        <v>8</v>
      </c>
      <c r="N36" s="27">
        <f>M36/C36</f>
        <v>1</v>
      </c>
      <c r="O36" s="35">
        <f>J36+'6-28-22'!O36</f>
        <v>69</v>
      </c>
      <c r="P36" s="26">
        <f>M36/O36</f>
        <v>0.11594202898550725</v>
      </c>
    </row>
    <row r="37" spans="1:16" ht="15.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27"/>
      <c r="O37" s="3"/>
      <c r="P37" s="3"/>
    </row>
    <row r="38" spans="1:16" ht="15.6" x14ac:dyDescent="0.3">
      <c r="A38" s="3"/>
      <c r="B38" s="8" t="s">
        <v>50</v>
      </c>
      <c r="C38" s="8">
        <f>2760+480</f>
        <v>3240</v>
      </c>
      <c r="D38" s="8"/>
      <c r="E38" s="8"/>
      <c r="F38" s="8"/>
      <c r="G38" s="35"/>
      <c r="H38" s="8"/>
      <c r="I38" s="16"/>
      <c r="J38" s="35">
        <f>F38*G38+H38*I38</f>
        <v>0</v>
      </c>
      <c r="K38" s="16" t="e">
        <f>E38/(J38)</f>
        <v>#DIV/0!</v>
      </c>
      <c r="L38" s="3"/>
      <c r="M38" s="26">
        <f>E38+'6-28-22'!M38</f>
        <v>1635</v>
      </c>
      <c r="N38" s="27">
        <f>M38/C38</f>
        <v>0.50462962962962965</v>
      </c>
      <c r="O38" s="35">
        <f>J38+'6-28-22'!O38</f>
        <v>72</v>
      </c>
      <c r="P38" s="26">
        <f>M38/O38</f>
        <v>22.708333333333332</v>
      </c>
    </row>
    <row r="39" spans="1:16" ht="15.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7"/>
      <c r="O39" s="3"/>
      <c r="P39" s="3"/>
    </row>
    <row r="40" spans="1:16" ht="15.6" x14ac:dyDescent="0.3">
      <c r="A40" s="3"/>
      <c r="B40" s="8" t="s">
        <v>115</v>
      </c>
      <c r="C40" s="8">
        <v>123</v>
      </c>
      <c r="D40" s="8"/>
      <c r="E40" s="8"/>
      <c r="F40" s="8"/>
      <c r="G40" s="35"/>
      <c r="H40" s="8"/>
      <c r="I40" s="16"/>
      <c r="J40" s="35">
        <f>F40*G40+H40*I40</f>
        <v>0</v>
      </c>
      <c r="K40" s="16" t="e">
        <f>E40/(J40)</f>
        <v>#DIV/0!</v>
      </c>
      <c r="L40" s="3"/>
      <c r="M40" s="26">
        <f>E40+'6-28-22'!M40</f>
        <v>0</v>
      </c>
      <c r="N40" s="27">
        <f>M40/C40</f>
        <v>0</v>
      </c>
      <c r="O40" s="35">
        <f>J40+'6-28-22'!O40</f>
        <v>0</v>
      </c>
      <c r="P40" s="35" t="e">
        <f>M40/O40</f>
        <v>#DIV/0!</v>
      </c>
    </row>
    <row r="41" spans="1:16" ht="15.6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27"/>
      <c r="O41" s="3"/>
      <c r="P41" s="3"/>
    </row>
    <row r="42" spans="1:16" ht="15.6" x14ac:dyDescent="0.3">
      <c r="A42" s="3"/>
      <c r="B42" s="8" t="s">
        <v>113</v>
      </c>
      <c r="C42" s="8" t="s">
        <v>52</v>
      </c>
      <c r="D42" s="8"/>
      <c r="E42" s="8"/>
      <c r="F42" s="8"/>
      <c r="G42" s="35"/>
      <c r="H42" s="8"/>
      <c r="I42" s="16"/>
      <c r="J42" s="35">
        <f>F42*G42+H42*I42</f>
        <v>0</v>
      </c>
      <c r="K42" s="16" t="e">
        <f>E42/(J42)</f>
        <v>#DIV/0!</v>
      </c>
      <c r="L42" s="3"/>
      <c r="M42" s="26">
        <f>E42+'6-28-22'!M42</f>
        <v>0</v>
      </c>
      <c r="N42" s="53" t="e">
        <f>M42/C42</f>
        <v>#VALUE!</v>
      </c>
      <c r="O42" s="35">
        <f>J42+'6-28-22'!O42</f>
        <v>0</v>
      </c>
      <c r="P42" s="35" t="e">
        <f>M42/O42</f>
        <v>#DIV/0!</v>
      </c>
    </row>
    <row r="43" spans="1:16" ht="15.6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27"/>
      <c r="O43" s="3"/>
      <c r="P43" s="3"/>
    </row>
    <row r="44" spans="1:16" ht="15.6" x14ac:dyDescent="0.3">
      <c r="A44" s="3"/>
      <c r="B44" s="8" t="s">
        <v>114</v>
      </c>
      <c r="C44" s="8" t="s">
        <v>52</v>
      </c>
      <c r="D44" s="8"/>
      <c r="E44" s="8"/>
      <c r="F44" s="8"/>
      <c r="G44" s="35"/>
      <c r="H44" s="8"/>
      <c r="I44" s="16"/>
      <c r="J44" s="35">
        <f>F44*G44+H44*I44</f>
        <v>0</v>
      </c>
      <c r="K44" s="16" t="e">
        <f>E44/(J44)</f>
        <v>#DIV/0!</v>
      </c>
      <c r="L44" s="3"/>
      <c r="M44" s="26" t="e">
        <f>E44+'6-28-22'!M44</f>
        <v>#VALUE!</v>
      </c>
      <c r="N44" s="53" t="e">
        <f>M44/C44</f>
        <v>#VALUE!</v>
      </c>
      <c r="O44" s="35">
        <f>J44+'6-28-22'!O44</f>
        <v>99</v>
      </c>
      <c r="P44" s="26" t="e">
        <f>M44/O44</f>
        <v>#VALUE!</v>
      </c>
    </row>
    <row r="45" spans="1:16" ht="15.6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27"/>
      <c r="O45" s="3"/>
      <c r="P45" s="3"/>
    </row>
    <row r="46" spans="1:16" ht="15.6" x14ac:dyDescent="0.3">
      <c r="A46" s="3"/>
      <c r="B46" s="8" t="s">
        <v>75</v>
      </c>
      <c r="C46" s="8"/>
      <c r="D46" s="8"/>
      <c r="E46" s="8"/>
      <c r="F46" s="8"/>
      <c r="G46" s="35"/>
      <c r="H46" s="8"/>
      <c r="I46" s="16"/>
      <c r="J46" s="35">
        <f>F46*G46+H46*I46</f>
        <v>0</v>
      </c>
      <c r="K46" s="16" t="e">
        <f>E46/(J46)</f>
        <v>#DIV/0!</v>
      </c>
      <c r="L46" s="3"/>
      <c r="M46" s="26">
        <f>E46+'6-28-22'!M46</f>
        <v>0</v>
      </c>
      <c r="N46" s="53" t="e">
        <f>M46/C46</f>
        <v>#DIV/0!</v>
      </c>
      <c r="O46" s="35">
        <f>J46+'6-27-22'!O46</f>
        <v>253.5</v>
      </c>
      <c r="P46" s="26">
        <f>M46/O46</f>
        <v>0</v>
      </c>
    </row>
    <row r="47" spans="1:16" ht="15.6" x14ac:dyDescent="0.3">
      <c r="A47" s="3"/>
      <c r="B47" s="3" t="s">
        <v>27</v>
      </c>
      <c r="C47" s="3"/>
      <c r="D47" s="3" t="s">
        <v>52</v>
      </c>
      <c r="E47" s="3"/>
      <c r="F47" s="3"/>
      <c r="G47" s="3"/>
      <c r="H47" s="30"/>
      <c r="I47" s="4"/>
      <c r="J47" s="3">
        <f>J20+J22+J24+J26+J28+J30+J32+J34+J36+J38+J40+J42+J44+J46</f>
        <v>81</v>
      </c>
      <c r="K47" s="3"/>
      <c r="L47" s="3"/>
      <c r="M47" s="3"/>
      <c r="N47" s="3"/>
      <c r="O47" s="3">
        <f>O20+O22+O24+O26+O28+O30+O32+O34+O36+O38+O40+O42+O44+O46</f>
        <v>3321.5</v>
      </c>
      <c r="P47" s="3"/>
    </row>
    <row r="48" spans="1:16" ht="15.6" x14ac:dyDescent="0.3">
      <c r="A48" s="3"/>
      <c r="B48" s="3"/>
      <c r="C48" s="3"/>
      <c r="D48" s="3"/>
      <c r="E48" s="3"/>
      <c r="F48" s="3"/>
      <c r="G48" s="3"/>
      <c r="H48" s="3"/>
      <c r="I48" s="4"/>
      <c r="J48" s="3"/>
      <c r="K48" s="3"/>
      <c r="L48" s="3"/>
      <c r="M48" s="3"/>
      <c r="N48" s="3"/>
      <c r="O48" s="3"/>
      <c r="P48" s="3"/>
    </row>
    <row r="49" spans="1:16" ht="15.6" x14ac:dyDescent="0.3">
      <c r="A49" s="3"/>
      <c r="B49" s="3" t="s">
        <v>28</v>
      </c>
      <c r="C49" s="3" t="s">
        <v>225</v>
      </c>
      <c r="D49" s="3"/>
      <c r="E49" s="3"/>
      <c r="F49" s="3"/>
      <c r="G49" s="3"/>
      <c r="H49" s="3"/>
      <c r="I49" s="4"/>
      <c r="J49" s="3"/>
      <c r="K49" s="3"/>
      <c r="L49" s="3"/>
      <c r="M49" s="3"/>
      <c r="N49" s="3"/>
      <c r="O49" s="3"/>
      <c r="P49" s="3"/>
    </row>
    <row r="50" spans="1:16" ht="15.6" x14ac:dyDescent="0.3">
      <c r="C50" s="33"/>
    </row>
    <row r="51" spans="1:16" ht="15.6" x14ac:dyDescent="0.3">
      <c r="B51" s="3" t="s">
        <v>32</v>
      </c>
      <c r="C51" s="33" t="s">
        <v>226</v>
      </c>
    </row>
    <row r="52" spans="1:16" ht="15.6" x14ac:dyDescent="0.3">
      <c r="C52" s="33"/>
    </row>
    <row r="53" spans="1:16" ht="15.6" x14ac:dyDescent="0.3">
      <c r="B53" s="3" t="s">
        <v>33</v>
      </c>
      <c r="C53" s="3" t="s">
        <v>227</v>
      </c>
    </row>
    <row r="54" spans="1:16" ht="15.6" x14ac:dyDescent="0.3">
      <c r="C54" s="33"/>
    </row>
    <row r="55" spans="1:16" ht="15.6" x14ac:dyDescent="0.3">
      <c r="C55" s="33" t="s">
        <v>52</v>
      </c>
    </row>
    <row r="57" spans="1:16" x14ac:dyDescent="0.3">
      <c r="C57" t="s">
        <v>52</v>
      </c>
      <c r="D57" t="s">
        <v>52</v>
      </c>
    </row>
    <row r="58" spans="1:16" x14ac:dyDescent="0.3">
      <c r="C58" t="s">
        <v>52</v>
      </c>
      <c r="D58" t="s">
        <v>52</v>
      </c>
    </row>
  </sheetData>
  <mergeCells count="2">
    <mergeCell ref="A1:G1"/>
    <mergeCell ref="H7:I7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4812B-E060-4520-B2E2-3C1BBCA6CA82}">
  <dimension ref="A1:R58"/>
  <sheetViews>
    <sheetView topLeftCell="A4" zoomScale="85" zoomScaleNormal="85" workbookViewId="0">
      <selection activeCell="F55" sqref="F55"/>
    </sheetView>
  </sheetViews>
  <sheetFormatPr defaultRowHeight="14.4" x14ac:dyDescent="0.3"/>
  <cols>
    <col min="1" max="1" width="11.33203125" customWidth="1"/>
    <col min="2" max="2" width="29.33203125" customWidth="1"/>
    <col min="3" max="3" width="22.109375" customWidth="1"/>
    <col min="4" max="4" width="14.88671875" customWidth="1"/>
    <col min="5" max="5" width="16.6640625" customWidth="1"/>
    <col min="6" max="6" width="17.44140625" customWidth="1"/>
    <col min="8" max="8" width="20.44140625" customWidth="1"/>
    <col min="13" max="13" width="10.6640625" customWidth="1"/>
    <col min="14" max="14" width="10" bestFit="1" customWidth="1"/>
    <col min="15" max="15" width="10.6640625" customWidth="1"/>
    <col min="18" max="18" width="9.6640625" bestFit="1" customWidth="1"/>
  </cols>
  <sheetData>
    <row r="1" spans="1:18" ht="18" x14ac:dyDescent="0.35">
      <c r="A1" s="66" t="s">
        <v>0</v>
      </c>
      <c r="B1" s="66"/>
      <c r="C1" s="66"/>
      <c r="D1" s="66"/>
      <c r="E1" s="66"/>
      <c r="F1" s="66"/>
      <c r="G1" s="66"/>
      <c r="H1" s="1"/>
      <c r="I1" s="2"/>
      <c r="J1" s="1"/>
      <c r="K1" s="1"/>
      <c r="L1" s="1"/>
      <c r="M1" s="1"/>
      <c r="N1" s="1"/>
      <c r="O1" s="1"/>
      <c r="P1" s="1"/>
    </row>
    <row r="2" spans="1:18" ht="15.6" x14ac:dyDescent="0.3">
      <c r="A2" s="3"/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</row>
    <row r="3" spans="1:18" ht="15.6" x14ac:dyDescent="0.3">
      <c r="A3" s="3"/>
      <c r="B3" s="5" t="s">
        <v>1</v>
      </c>
      <c r="C3" s="6" t="s">
        <v>43</v>
      </c>
      <c r="D3" s="7"/>
      <c r="E3" s="3"/>
      <c r="F3" s="5" t="s">
        <v>2</v>
      </c>
      <c r="G3" s="8">
        <v>4355</v>
      </c>
      <c r="H3" s="34" t="s">
        <v>41</v>
      </c>
      <c r="I3" s="35">
        <v>49</v>
      </c>
      <c r="J3" s="3"/>
      <c r="K3" s="3"/>
      <c r="L3" s="3"/>
      <c r="N3" s="3" t="s">
        <v>163</v>
      </c>
      <c r="O3" s="3"/>
      <c r="P3" s="3"/>
      <c r="Q3" s="61" t="s">
        <v>196</v>
      </c>
      <c r="R3" s="62">
        <v>44702</v>
      </c>
    </row>
    <row r="4" spans="1:18" ht="15.6" x14ac:dyDescent="0.3">
      <c r="A4" s="3"/>
      <c r="B4" s="5" t="s">
        <v>3</v>
      </c>
      <c r="C4" s="37">
        <v>300155</v>
      </c>
      <c r="D4" s="7"/>
      <c r="E4" s="3"/>
      <c r="F4" s="5" t="s">
        <v>4</v>
      </c>
      <c r="G4" s="56">
        <f>J16+'6-27-22'!G4</f>
        <v>3240.5</v>
      </c>
      <c r="H4" s="34" t="s">
        <v>42</v>
      </c>
      <c r="I4" s="16">
        <v>44</v>
      </c>
      <c r="J4" s="58"/>
      <c r="K4" s="3"/>
      <c r="L4" s="3"/>
      <c r="M4" s="3"/>
      <c r="N4" s="3"/>
      <c r="O4" s="3"/>
      <c r="P4" s="3" t="s">
        <v>52</v>
      </c>
      <c r="Q4" s="61" t="s">
        <v>196</v>
      </c>
      <c r="R4" s="62">
        <v>44732</v>
      </c>
    </row>
    <row r="5" spans="1:18" ht="15.6" x14ac:dyDescent="0.3">
      <c r="A5" s="3"/>
      <c r="B5" s="5" t="s">
        <v>5</v>
      </c>
      <c r="C5" s="38">
        <v>44740</v>
      </c>
      <c r="D5" s="3"/>
      <c r="E5" s="3"/>
      <c r="F5" s="3"/>
      <c r="G5" s="59">
        <f>G4/G3</f>
        <v>0.74408725602755454</v>
      </c>
      <c r="H5" s="3"/>
      <c r="I5" s="60">
        <f>I4/I3</f>
        <v>0.89795918367346939</v>
      </c>
      <c r="J5" s="3"/>
      <c r="K5" s="3"/>
      <c r="L5" s="3"/>
      <c r="M5" s="3"/>
      <c r="N5" s="3"/>
      <c r="O5" s="3"/>
      <c r="P5" s="3"/>
      <c r="Q5" s="61"/>
      <c r="R5" s="61"/>
    </row>
    <row r="6" spans="1:18" ht="15.6" x14ac:dyDescent="0.3">
      <c r="A6" s="3"/>
      <c r="B6" s="5"/>
      <c r="C6" s="3"/>
      <c r="D6" s="3"/>
      <c r="E6" s="3"/>
      <c r="F6" s="3"/>
      <c r="G6" s="3"/>
      <c r="H6" s="3"/>
      <c r="I6" s="4"/>
      <c r="J6" s="3"/>
      <c r="K6" s="30"/>
      <c r="L6" s="3"/>
      <c r="M6" s="3"/>
      <c r="N6" s="3"/>
      <c r="O6" s="3"/>
      <c r="P6" s="3"/>
      <c r="Q6" s="61"/>
      <c r="R6" s="61"/>
    </row>
    <row r="7" spans="1:18" ht="15.6" x14ac:dyDescent="0.3">
      <c r="A7" s="10" t="s">
        <v>6</v>
      </c>
      <c r="B7" s="11"/>
      <c r="C7" s="12" t="s">
        <v>7</v>
      </c>
      <c r="D7" s="3"/>
      <c r="E7" s="12" t="s">
        <v>8</v>
      </c>
      <c r="F7" s="12" t="s">
        <v>34</v>
      </c>
      <c r="G7" s="3"/>
      <c r="H7" s="67" t="s">
        <v>7</v>
      </c>
      <c r="I7" s="67"/>
      <c r="J7" s="12" t="s">
        <v>8</v>
      </c>
      <c r="K7" s="3"/>
      <c r="L7" s="3"/>
      <c r="M7" s="3"/>
      <c r="N7" s="3"/>
      <c r="O7" s="3"/>
      <c r="P7" s="3"/>
      <c r="Q7" s="61"/>
      <c r="R7" s="61"/>
    </row>
    <row r="8" spans="1:18" ht="15.6" x14ac:dyDescent="0.3">
      <c r="A8" s="13">
        <v>1</v>
      </c>
      <c r="B8" s="5" t="s">
        <v>9</v>
      </c>
      <c r="C8" s="14" t="s">
        <v>35</v>
      </c>
      <c r="D8" s="15"/>
      <c r="E8" s="35">
        <v>9</v>
      </c>
      <c r="F8" s="16">
        <v>66</v>
      </c>
      <c r="G8" s="11">
        <v>9</v>
      </c>
      <c r="H8" s="14" t="s">
        <v>40</v>
      </c>
      <c r="I8" s="8"/>
      <c r="J8" s="35">
        <v>9</v>
      </c>
      <c r="K8" s="3"/>
      <c r="L8" s="3"/>
      <c r="M8" s="3"/>
      <c r="N8" s="3"/>
      <c r="O8" s="3"/>
      <c r="P8" s="3"/>
      <c r="Q8" s="61"/>
      <c r="R8" s="61"/>
    </row>
    <row r="9" spans="1:18" ht="15.6" x14ac:dyDescent="0.3">
      <c r="A9" s="13">
        <v>2</v>
      </c>
      <c r="B9" s="5" t="s">
        <v>10</v>
      </c>
      <c r="C9" s="14" t="s">
        <v>37</v>
      </c>
      <c r="D9" s="8"/>
      <c r="E9" s="35">
        <v>9</v>
      </c>
      <c r="F9" s="16"/>
      <c r="G9" s="11">
        <v>10</v>
      </c>
      <c r="H9" s="14"/>
      <c r="I9" s="8"/>
      <c r="J9" s="39"/>
      <c r="K9" s="3"/>
      <c r="L9" s="3"/>
      <c r="M9" s="3"/>
      <c r="N9" s="3"/>
      <c r="O9" s="3"/>
      <c r="P9" s="3"/>
      <c r="Q9" s="61"/>
      <c r="R9" s="61"/>
    </row>
    <row r="10" spans="1:18" ht="15.6" x14ac:dyDescent="0.3">
      <c r="A10" s="13">
        <v>3</v>
      </c>
      <c r="B10" s="5" t="s">
        <v>11</v>
      </c>
      <c r="C10" s="14" t="s">
        <v>36</v>
      </c>
      <c r="D10" s="8"/>
      <c r="E10" s="35">
        <v>9</v>
      </c>
      <c r="F10" s="16">
        <v>78</v>
      </c>
      <c r="G10" s="11">
        <v>11</v>
      </c>
      <c r="H10" s="3"/>
      <c r="I10" s="8"/>
      <c r="J10" s="39"/>
      <c r="K10" s="3"/>
      <c r="L10" s="3"/>
      <c r="M10" s="3"/>
      <c r="N10" s="3"/>
      <c r="O10" s="3"/>
      <c r="P10" s="3"/>
      <c r="Q10" s="61"/>
      <c r="R10" s="61"/>
    </row>
    <row r="11" spans="1:18" ht="15.6" x14ac:dyDescent="0.3">
      <c r="A11" s="13">
        <v>4</v>
      </c>
      <c r="B11" s="5" t="s">
        <v>12</v>
      </c>
      <c r="C11" s="14" t="s">
        <v>29</v>
      </c>
      <c r="D11" s="8"/>
      <c r="E11" s="35">
        <v>9</v>
      </c>
      <c r="F11" s="16"/>
      <c r="G11" s="11">
        <v>12</v>
      </c>
      <c r="H11" s="3"/>
      <c r="I11" s="8"/>
      <c r="J11" s="39"/>
      <c r="K11" s="3"/>
      <c r="L11" s="3"/>
      <c r="M11" s="3"/>
      <c r="N11" s="3"/>
      <c r="O11" s="3"/>
      <c r="P11" s="3"/>
      <c r="Q11" s="61"/>
      <c r="R11" s="61"/>
    </row>
    <row r="12" spans="1:18" ht="15.6" x14ac:dyDescent="0.3">
      <c r="A12" s="13">
        <v>5</v>
      </c>
      <c r="B12" s="3"/>
      <c r="C12" s="31" t="s">
        <v>30</v>
      </c>
      <c r="D12" s="8"/>
      <c r="E12" s="35">
        <v>9</v>
      </c>
      <c r="F12" s="16"/>
      <c r="G12" s="11">
        <v>13</v>
      </c>
      <c r="H12" s="3"/>
      <c r="I12" s="8"/>
      <c r="J12" s="39"/>
      <c r="K12" s="3"/>
      <c r="L12" s="3"/>
      <c r="M12" s="3"/>
      <c r="N12" s="3"/>
      <c r="O12" s="3"/>
      <c r="P12" s="3"/>
    </row>
    <row r="13" spans="1:18" ht="15.6" x14ac:dyDescent="0.3">
      <c r="A13" s="13">
        <v>6</v>
      </c>
      <c r="B13" s="3"/>
      <c r="C13" s="14" t="s">
        <v>31</v>
      </c>
      <c r="D13" s="8"/>
      <c r="E13" s="35">
        <v>9</v>
      </c>
      <c r="F13" s="16">
        <v>74</v>
      </c>
      <c r="G13" s="11">
        <v>14</v>
      </c>
      <c r="H13" s="18"/>
      <c r="I13" s="8"/>
      <c r="J13" s="39"/>
      <c r="K13" s="3"/>
      <c r="L13" s="3"/>
      <c r="M13" s="3"/>
      <c r="N13" s="3"/>
      <c r="O13" s="3"/>
      <c r="P13" s="3"/>
    </row>
    <row r="14" spans="1:18" ht="15.6" x14ac:dyDescent="0.3">
      <c r="A14" s="13">
        <v>7</v>
      </c>
      <c r="B14" s="5" t="s">
        <v>52</v>
      </c>
      <c r="C14" s="14" t="s">
        <v>39</v>
      </c>
      <c r="D14" s="8"/>
      <c r="E14" s="35">
        <v>9</v>
      </c>
      <c r="F14" s="16"/>
      <c r="G14" s="11">
        <v>15</v>
      </c>
      <c r="H14" s="3"/>
      <c r="I14" s="8"/>
      <c r="J14" s="39"/>
      <c r="K14" s="3"/>
      <c r="L14" s="3"/>
      <c r="M14" s="3"/>
      <c r="N14" s="3"/>
      <c r="O14" s="3"/>
      <c r="P14" s="3"/>
    </row>
    <row r="15" spans="1:18" ht="15.6" x14ac:dyDescent="0.3">
      <c r="A15" s="13">
        <v>8</v>
      </c>
      <c r="B15" s="3"/>
      <c r="C15" s="14" t="s">
        <v>38</v>
      </c>
      <c r="D15" s="8"/>
      <c r="E15" s="35">
        <v>9</v>
      </c>
      <c r="F15" s="16"/>
      <c r="G15" s="11">
        <v>16</v>
      </c>
      <c r="H15" s="3"/>
      <c r="I15" s="8"/>
      <c r="J15" s="39"/>
      <c r="K15" s="3"/>
      <c r="L15" s="3"/>
      <c r="M15" s="3"/>
      <c r="N15" s="3"/>
      <c r="O15" s="3"/>
      <c r="P15" s="3"/>
    </row>
    <row r="16" spans="1:18" ht="15.6" x14ac:dyDescent="0.3">
      <c r="A16" s="3"/>
      <c r="B16" s="3"/>
      <c r="C16" s="3"/>
      <c r="D16" s="3"/>
      <c r="E16" s="3"/>
      <c r="F16" s="3"/>
      <c r="G16" s="13"/>
      <c r="H16" s="7" t="s">
        <v>13</v>
      </c>
      <c r="I16" s="3"/>
      <c r="J16" s="8">
        <f>SUM(E8:E15)+SUM(J8:J15)</f>
        <v>81</v>
      </c>
      <c r="K16" s="3"/>
      <c r="L16" s="3"/>
      <c r="M16" s="3"/>
      <c r="N16" s="3"/>
      <c r="O16" s="3"/>
      <c r="P16" s="3"/>
    </row>
    <row r="17" spans="1:16" ht="15.6" x14ac:dyDescent="0.3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  <c r="L17" s="3"/>
      <c r="M17" s="3"/>
      <c r="N17" s="3"/>
      <c r="O17" s="3"/>
      <c r="P17" s="3"/>
    </row>
    <row r="18" spans="1:16" ht="93.6" x14ac:dyDescent="0.3">
      <c r="A18" s="19"/>
      <c r="B18" s="20" t="s">
        <v>14</v>
      </c>
      <c r="C18" s="21" t="s">
        <v>15</v>
      </c>
      <c r="D18" s="22" t="s">
        <v>16</v>
      </c>
      <c r="E18" s="22" t="s">
        <v>17</v>
      </c>
      <c r="F18" s="22" t="s">
        <v>18</v>
      </c>
      <c r="G18" s="22" t="s">
        <v>19</v>
      </c>
      <c r="H18" s="22" t="s">
        <v>18</v>
      </c>
      <c r="I18" s="22" t="s">
        <v>19</v>
      </c>
      <c r="J18" s="22" t="s">
        <v>20</v>
      </c>
      <c r="K18" s="23" t="s">
        <v>21</v>
      </c>
      <c r="L18" s="24"/>
      <c r="M18" s="23" t="s">
        <v>22</v>
      </c>
      <c r="N18" s="23" t="s">
        <v>23</v>
      </c>
      <c r="O18" s="23" t="s">
        <v>24</v>
      </c>
      <c r="P18" s="23" t="s">
        <v>25</v>
      </c>
    </row>
    <row r="19" spans="1:16" ht="15.6" x14ac:dyDescent="0.3">
      <c r="A19" s="19"/>
      <c r="B19" s="19"/>
      <c r="C19" s="24"/>
      <c r="D19" s="24"/>
      <c r="E19" s="24"/>
      <c r="F19" s="24"/>
      <c r="G19" s="24"/>
      <c r="H19" s="24"/>
      <c r="I19" s="24"/>
      <c r="J19" s="24"/>
      <c r="K19" s="25"/>
      <c r="L19" s="24"/>
      <c r="M19" s="3"/>
      <c r="N19" s="3"/>
      <c r="O19" s="3"/>
      <c r="P19" s="3"/>
    </row>
    <row r="20" spans="1:16" ht="15.6" x14ac:dyDescent="0.3">
      <c r="A20" s="3"/>
      <c r="B20" s="8" t="s">
        <v>26</v>
      </c>
      <c r="C20" s="8">
        <v>1</v>
      </c>
      <c r="D20" s="8">
        <v>1</v>
      </c>
      <c r="E20" s="8"/>
      <c r="F20" s="8"/>
      <c r="G20" s="35">
        <v>0</v>
      </c>
      <c r="H20" s="8"/>
      <c r="I20" s="16"/>
      <c r="J20" s="35">
        <f>F20*G20+H20*I20</f>
        <v>0</v>
      </c>
      <c r="K20" s="16" t="e">
        <f>E20/(J20)</f>
        <v>#DIV/0!</v>
      </c>
      <c r="L20" s="3"/>
      <c r="M20" s="26">
        <v>0</v>
      </c>
      <c r="N20" s="27">
        <f>M20/C20</f>
        <v>0</v>
      </c>
      <c r="O20" s="35">
        <f>J20+'6-27-22'!O20</f>
        <v>108</v>
      </c>
      <c r="P20" s="26">
        <f>M20/O20</f>
        <v>0</v>
      </c>
    </row>
    <row r="21" spans="1:16" ht="15.6" x14ac:dyDescent="0.3">
      <c r="A21" s="3"/>
      <c r="B21" s="3"/>
      <c r="C21" s="3"/>
      <c r="D21" s="3"/>
      <c r="E21" s="3"/>
      <c r="F21" s="3"/>
      <c r="G21" s="40"/>
      <c r="H21" s="3"/>
      <c r="I21" s="28"/>
      <c r="J21" s="40"/>
      <c r="K21" s="28"/>
      <c r="L21" s="3"/>
      <c r="M21" s="29"/>
      <c r="N21" s="3"/>
      <c r="O21" s="3"/>
      <c r="P21" s="3"/>
    </row>
    <row r="22" spans="1:16" ht="15.6" x14ac:dyDescent="0.3">
      <c r="A22" s="3"/>
      <c r="B22" s="8" t="s">
        <v>53</v>
      </c>
      <c r="C22" s="8">
        <v>125400</v>
      </c>
      <c r="D22" s="41"/>
      <c r="E22" s="41"/>
      <c r="F22" s="8"/>
      <c r="G22" s="35"/>
      <c r="H22" s="8"/>
      <c r="I22" s="16"/>
      <c r="J22" s="35">
        <f>F22*G22+H22*I22</f>
        <v>0</v>
      </c>
      <c r="K22" s="16" t="e">
        <f>E22/(J22)</f>
        <v>#DIV/0!</v>
      </c>
      <c r="L22" s="3"/>
      <c r="M22" s="26">
        <f>E22+'6-27-22'!M22</f>
        <v>125400</v>
      </c>
      <c r="N22" s="27">
        <f>M22/C22</f>
        <v>1</v>
      </c>
      <c r="O22" s="35">
        <f>J22+'6-27-22'!O22</f>
        <v>679.75</v>
      </c>
      <c r="P22" s="26">
        <f>M22/O22</f>
        <v>184.47958808385437</v>
      </c>
    </row>
    <row r="23" spans="1:16" ht="15.6" x14ac:dyDescent="0.3">
      <c r="A23" s="3"/>
      <c r="B23" s="3"/>
      <c r="C23" s="3"/>
      <c r="D23" s="3"/>
      <c r="E23" s="3"/>
      <c r="F23" s="3"/>
      <c r="G23" s="40"/>
      <c r="H23" s="3"/>
      <c r="I23" s="28"/>
      <c r="J23" s="40"/>
      <c r="K23" s="28"/>
      <c r="L23" s="3"/>
      <c r="M23" s="29"/>
      <c r="N23" s="3"/>
      <c r="O23" s="36"/>
      <c r="P23" s="29"/>
    </row>
    <row r="24" spans="1:16" ht="15.6" x14ac:dyDescent="0.3">
      <c r="A24" s="3"/>
      <c r="B24" s="8" t="s">
        <v>54</v>
      </c>
      <c r="C24" s="8">
        <v>125400</v>
      </c>
      <c r="D24" s="8"/>
      <c r="E24" s="8"/>
      <c r="F24" s="8"/>
      <c r="G24" s="35"/>
      <c r="H24" s="8"/>
      <c r="I24" s="16"/>
      <c r="J24" s="35">
        <f>F24*G24+H24*I24</f>
        <v>0</v>
      </c>
      <c r="K24" s="16" t="e">
        <f>E24/(J24)</f>
        <v>#DIV/0!</v>
      </c>
      <c r="L24" s="3"/>
      <c r="M24" s="26">
        <f>E24+'6-27-22'!M24</f>
        <v>125400</v>
      </c>
      <c r="N24" s="27">
        <f>M24/C24</f>
        <v>1</v>
      </c>
      <c r="O24" s="35">
        <f>J24+'6-27-22'!O24</f>
        <v>449.75</v>
      </c>
      <c r="P24" s="26">
        <f>M24/O24</f>
        <v>278.82156753752082</v>
      </c>
    </row>
    <row r="25" spans="1:16" ht="15.6" x14ac:dyDescent="0.3">
      <c r="A25" s="3"/>
      <c r="B25" s="3"/>
      <c r="C25" s="3"/>
      <c r="D25" s="3"/>
      <c r="E25" s="3"/>
      <c r="F25" s="3"/>
      <c r="G25" s="36"/>
      <c r="H25" s="3"/>
      <c r="I25" s="4"/>
      <c r="J25" s="36"/>
      <c r="K25" s="4"/>
      <c r="L25" s="3"/>
      <c r="M25" s="29"/>
      <c r="N25" s="3"/>
      <c r="O25" s="3"/>
      <c r="P25" s="3"/>
    </row>
    <row r="26" spans="1:16" ht="15.6" x14ac:dyDescent="0.3">
      <c r="A26" s="3"/>
      <c r="B26" s="8" t="s">
        <v>44</v>
      </c>
      <c r="C26" s="8">
        <v>3040</v>
      </c>
      <c r="D26" s="8"/>
      <c r="E26" s="8"/>
      <c r="F26" s="8"/>
      <c r="G26" s="35"/>
      <c r="H26" s="8"/>
      <c r="I26" s="16"/>
      <c r="J26" s="35">
        <f>F26*G26+H26*I26</f>
        <v>0</v>
      </c>
      <c r="K26" s="16" t="e">
        <f>E26/(J26)</f>
        <v>#DIV/0!</v>
      </c>
      <c r="L26" s="3"/>
      <c r="M26" s="26">
        <f>E26+'6-27-22'!M26</f>
        <v>3040</v>
      </c>
      <c r="N26" s="27">
        <f>M26/C26</f>
        <v>1</v>
      </c>
      <c r="O26" s="35">
        <f>J26+'6-27-22'!O26</f>
        <v>121.25</v>
      </c>
      <c r="P26" s="26">
        <f>M26/O26</f>
        <v>25.072164948453608</v>
      </c>
    </row>
    <row r="27" spans="1:16" ht="15.6" x14ac:dyDescent="0.3">
      <c r="A27" s="3"/>
      <c r="B27" s="3"/>
      <c r="C27" s="3"/>
      <c r="D27" s="3"/>
      <c r="E27" s="3"/>
      <c r="F27" s="3"/>
      <c r="G27" s="36"/>
      <c r="H27" s="3"/>
      <c r="I27" s="4"/>
      <c r="J27" s="36"/>
      <c r="K27" s="4"/>
      <c r="L27" s="3"/>
      <c r="M27" s="29"/>
      <c r="N27" s="3"/>
      <c r="O27" s="3"/>
      <c r="P27" s="3"/>
    </row>
    <row r="28" spans="1:16" ht="15.6" x14ac:dyDescent="0.3">
      <c r="A28" s="3"/>
      <c r="B28" s="8" t="s">
        <v>45</v>
      </c>
      <c r="C28" s="8">
        <v>3040</v>
      </c>
      <c r="D28" s="8"/>
      <c r="E28" s="8">
        <v>330</v>
      </c>
      <c r="F28" s="8">
        <v>9</v>
      </c>
      <c r="G28" s="35">
        <v>6</v>
      </c>
      <c r="H28" s="8"/>
      <c r="I28" s="35"/>
      <c r="J28" s="35">
        <f>F28*G28+H28*I28</f>
        <v>54</v>
      </c>
      <c r="K28" s="16">
        <f>E28/(J28)</f>
        <v>6.1111111111111107</v>
      </c>
      <c r="L28" s="3"/>
      <c r="M28" s="26">
        <f>E28+'6-27-22'!M28</f>
        <v>1877</v>
      </c>
      <c r="N28" s="27">
        <f>M28/C28</f>
        <v>0.61743421052631575</v>
      </c>
      <c r="O28" s="35">
        <f>J28+'6-27-22'!O28</f>
        <v>513.25</v>
      </c>
      <c r="P28" s="26">
        <f>M28/O28</f>
        <v>3.6570871894788115</v>
      </c>
    </row>
    <row r="29" spans="1:16" ht="15.6" x14ac:dyDescent="0.3">
      <c r="A29" s="3"/>
      <c r="B29" s="3"/>
      <c r="C29" s="3"/>
      <c r="D29" s="3"/>
      <c r="E29" s="3"/>
      <c r="F29" s="3"/>
      <c r="G29" s="36"/>
      <c r="H29" s="3"/>
      <c r="I29" s="4"/>
      <c r="J29" s="36"/>
      <c r="K29" s="4"/>
      <c r="L29" s="3"/>
      <c r="M29" s="29"/>
      <c r="N29" s="3"/>
      <c r="O29" s="3"/>
      <c r="P29" s="3"/>
    </row>
    <row r="30" spans="1:16" ht="15.6" x14ac:dyDescent="0.3">
      <c r="A30" s="3"/>
      <c r="B30" s="8" t="s">
        <v>47</v>
      </c>
      <c r="C30" s="8">
        <v>123400</v>
      </c>
      <c r="D30" s="8"/>
      <c r="E30" s="8"/>
      <c r="F30" s="8"/>
      <c r="G30" s="35"/>
      <c r="H30" s="8"/>
      <c r="I30" s="35"/>
      <c r="J30" s="35">
        <f>F30*G30+H30*I30</f>
        <v>0</v>
      </c>
      <c r="K30" s="16" t="e">
        <f>E30/(J30)</f>
        <v>#DIV/0!</v>
      </c>
      <c r="L30" s="3"/>
      <c r="M30" s="26">
        <f>E30+'6-27-22'!M30</f>
        <v>123400</v>
      </c>
      <c r="N30" s="27">
        <f>M30/C30</f>
        <v>1</v>
      </c>
      <c r="O30" s="35">
        <f>J30+'6-27-22'!O30</f>
        <v>645.5</v>
      </c>
      <c r="P30" s="26">
        <f>M30/O30</f>
        <v>191.16963594113091</v>
      </c>
    </row>
    <row r="31" spans="1:16" ht="15.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7"/>
      <c r="O31" s="3"/>
      <c r="P31" s="3"/>
    </row>
    <row r="32" spans="1:16" ht="15.6" x14ac:dyDescent="0.3">
      <c r="A32" s="3"/>
      <c r="B32" s="8" t="s">
        <v>46</v>
      </c>
      <c r="C32" s="8">
        <v>303</v>
      </c>
      <c r="D32" s="8"/>
      <c r="E32" s="8"/>
      <c r="F32" s="8"/>
      <c r="G32" s="35"/>
      <c r="H32" s="8"/>
      <c r="I32" s="16"/>
      <c r="J32" s="35">
        <f>F32*G32+H32*I32</f>
        <v>0</v>
      </c>
      <c r="K32" s="16" t="e">
        <f>E32/(J32)</f>
        <v>#DIV/0!</v>
      </c>
      <c r="L32" s="3"/>
      <c r="M32" s="26">
        <f>E32+'6-27-22'!M32</f>
        <v>303</v>
      </c>
      <c r="N32" s="27">
        <f>M32/C32</f>
        <v>1</v>
      </c>
      <c r="O32" s="35">
        <f>J32+'6-27-22'!O32</f>
        <v>166.5</v>
      </c>
      <c r="P32" s="26">
        <f>M32/O32</f>
        <v>1.8198198198198199</v>
      </c>
    </row>
    <row r="33" spans="1:16" ht="15.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7"/>
      <c r="O33" s="3"/>
      <c r="P33" s="3"/>
    </row>
    <row r="34" spans="1:16" ht="15.6" x14ac:dyDescent="0.3">
      <c r="A34" s="3"/>
      <c r="B34" s="8" t="s">
        <v>48</v>
      </c>
      <c r="C34" s="8">
        <v>115000</v>
      </c>
      <c r="D34" s="8" t="s">
        <v>52</v>
      </c>
      <c r="E34" s="8"/>
      <c r="F34" s="8">
        <v>9</v>
      </c>
      <c r="G34" s="35">
        <v>3</v>
      </c>
      <c r="H34" s="8"/>
      <c r="I34" s="16"/>
      <c r="J34" s="35">
        <f>F34*G34+H34*I34</f>
        <v>27</v>
      </c>
      <c r="K34" s="16">
        <f>E34/(J34)</f>
        <v>0</v>
      </c>
      <c r="L34" s="3"/>
      <c r="M34" s="26">
        <f>E34+'6-27-22'!M34</f>
        <v>0</v>
      </c>
      <c r="N34" s="27">
        <f>M34/C34</f>
        <v>0</v>
      </c>
      <c r="O34" s="35">
        <f>J34+'6-27-22'!O34</f>
        <v>63</v>
      </c>
      <c r="P34" s="26">
        <f>M34/O34</f>
        <v>0</v>
      </c>
    </row>
    <row r="35" spans="1:16" ht="15.6" x14ac:dyDescent="0.3">
      <c r="A35" s="3"/>
      <c r="B35" s="3"/>
      <c r="C35" s="3"/>
      <c r="D35" s="3" t="s">
        <v>52</v>
      </c>
      <c r="E35" s="3"/>
      <c r="F35" s="3"/>
      <c r="G35" s="3"/>
      <c r="H35" s="3"/>
      <c r="I35" s="3"/>
      <c r="J35" s="3"/>
      <c r="K35" s="3"/>
      <c r="L35" s="3"/>
      <c r="M35" s="3"/>
      <c r="N35" s="27"/>
      <c r="O35" s="3"/>
      <c r="P35" s="3"/>
    </row>
    <row r="36" spans="1:16" ht="15.6" x14ac:dyDescent="0.3">
      <c r="A36" s="3"/>
      <c r="B36" s="8" t="s">
        <v>49</v>
      </c>
      <c r="C36" s="8">
        <v>8</v>
      </c>
      <c r="D36" s="8"/>
      <c r="E36" s="8"/>
      <c r="F36" s="8"/>
      <c r="G36" s="35"/>
      <c r="H36" s="8"/>
      <c r="I36" s="16"/>
      <c r="J36" s="35">
        <f>F36*G36+H36*I36</f>
        <v>0</v>
      </c>
      <c r="K36" s="16" t="e">
        <f>E36/(J36)</f>
        <v>#DIV/0!</v>
      </c>
      <c r="L36" s="3"/>
      <c r="M36" s="26">
        <f>E36+'6-27-22'!M36</f>
        <v>8</v>
      </c>
      <c r="N36" s="27">
        <f>M36/C36</f>
        <v>1</v>
      </c>
      <c r="O36" s="35">
        <f>J36+'6-27-22'!O36</f>
        <v>69</v>
      </c>
      <c r="P36" s="26">
        <f>M36/O36</f>
        <v>0.11594202898550725</v>
      </c>
    </row>
    <row r="37" spans="1:16" ht="15.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27"/>
      <c r="O37" s="3"/>
      <c r="P37" s="3"/>
    </row>
    <row r="38" spans="1:16" ht="15.6" x14ac:dyDescent="0.3">
      <c r="A38" s="3"/>
      <c r="B38" s="8" t="s">
        <v>50</v>
      </c>
      <c r="C38" s="8">
        <f>2760+480</f>
        <v>3240</v>
      </c>
      <c r="D38" s="8"/>
      <c r="E38" s="8"/>
      <c r="F38" s="8"/>
      <c r="G38" s="35"/>
      <c r="H38" s="8"/>
      <c r="I38" s="16"/>
      <c r="J38" s="35">
        <f>F38*G38+H38*I38</f>
        <v>0</v>
      </c>
      <c r="K38" s="16" t="e">
        <f>E38/(J38)</f>
        <v>#DIV/0!</v>
      </c>
      <c r="L38" s="3"/>
      <c r="M38" s="26">
        <f>E38+'6-27-22'!M38</f>
        <v>1635</v>
      </c>
      <c r="N38" s="27">
        <f>M38/C38</f>
        <v>0.50462962962962965</v>
      </c>
      <c r="O38" s="35">
        <f>J38+'6-27-22'!O38</f>
        <v>72</v>
      </c>
      <c r="P38" s="26">
        <f>M38/O38</f>
        <v>22.708333333333332</v>
      </c>
    </row>
    <row r="39" spans="1:16" ht="15.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7"/>
      <c r="O39" s="3"/>
      <c r="P39" s="3"/>
    </row>
    <row r="40" spans="1:16" ht="15.6" x14ac:dyDescent="0.3">
      <c r="A40" s="3"/>
      <c r="B40" s="8" t="s">
        <v>115</v>
      </c>
      <c r="C40" s="8">
        <v>123</v>
      </c>
      <c r="D40" s="8"/>
      <c r="E40" s="8"/>
      <c r="F40" s="8"/>
      <c r="G40" s="35"/>
      <c r="H40" s="8"/>
      <c r="I40" s="16"/>
      <c r="J40" s="35">
        <f>F40*G40+H40*I40</f>
        <v>0</v>
      </c>
      <c r="K40" s="16" t="e">
        <f>E40/(J40)</f>
        <v>#DIV/0!</v>
      </c>
      <c r="L40" s="3"/>
      <c r="M40" s="26">
        <f>E40+'6-27-22'!M40</f>
        <v>0</v>
      </c>
      <c r="N40" s="27">
        <f>M40/C40</f>
        <v>0</v>
      </c>
      <c r="O40" s="35">
        <f>J40+'6-27-22'!O40</f>
        <v>0</v>
      </c>
      <c r="P40" s="35" t="e">
        <f>M40/O40</f>
        <v>#DIV/0!</v>
      </c>
    </row>
    <row r="41" spans="1:16" ht="15.6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27"/>
      <c r="O41" s="3"/>
      <c r="P41" s="3"/>
    </row>
    <row r="42" spans="1:16" ht="15.6" x14ac:dyDescent="0.3">
      <c r="A42" s="3"/>
      <c r="B42" s="8" t="s">
        <v>113</v>
      </c>
      <c r="C42" s="8" t="s">
        <v>52</v>
      </c>
      <c r="D42" s="8"/>
      <c r="E42" s="8"/>
      <c r="F42" s="8"/>
      <c r="G42" s="35"/>
      <c r="H42" s="8"/>
      <c r="I42" s="16"/>
      <c r="J42" s="35">
        <f>F42*G42+H42*I42</f>
        <v>0</v>
      </c>
      <c r="K42" s="16" t="e">
        <f>E42/(J42)</f>
        <v>#DIV/0!</v>
      </c>
      <c r="L42" s="3"/>
      <c r="M42" s="26">
        <f>E42+'6-27-22'!M42</f>
        <v>0</v>
      </c>
      <c r="N42" s="53" t="e">
        <f>M42/C42</f>
        <v>#VALUE!</v>
      </c>
      <c r="O42" s="35">
        <f>J42+'6-27-22'!O42</f>
        <v>0</v>
      </c>
      <c r="P42" s="35" t="e">
        <f>M42/O42</f>
        <v>#DIV/0!</v>
      </c>
    </row>
    <row r="43" spans="1:16" ht="15.6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27"/>
      <c r="O43" s="3"/>
      <c r="P43" s="3"/>
    </row>
    <row r="44" spans="1:16" ht="15.6" x14ac:dyDescent="0.3">
      <c r="A44" s="3"/>
      <c r="B44" s="8" t="s">
        <v>114</v>
      </c>
      <c r="C44" s="8" t="s">
        <v>52</v>
      </c>
      <c r="D44" s="8"/>
      <c r="E44" s="8"/>
      <c r="F44" s="8"/>
      <c r="G44" s="35"/>
      <c r="H44" s="8"/>
      <c r="I44" s="16"/>
      <c r="J44" s="35">
        <f>F44*G44+H44*I44</f>
        <v>0</v>
      </c>
      <c r="K44" s="16" t="e">
        <f>E44/(J44)</f>
        <v>#DIV/0!</v>
      </c>
      <c r="L44" s="3"/>
      <c r="M44" s="26" t="e">
        <f>E44+'6-27-22'!M44</f>
        <v>#VALUE!</v>
      </c>
      <c r="N44" s="53" t="e">
        <f>M44/C44</f>
        <v>#VALUE!</v>
      </c>
      <c r="O44" s="35">
        <f>J44+'6-27-22'!O44</f>
        <v>99</v>
      </c>
      <c r="P44" s="26" t="e">
        <f>M44/O44</f>
        <v>#VALUE!</v>
      </c>
    </row>
    <row r="45" spans="1:16" ht="15.6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27"/>
      <c r="O45" s="3"/>
      <c r="P45" s="3"/>
    </row>
    <row r="46" spans="1:16" ht="15.6" x14ac:dyDescent="0.3">
      <c r="A46" s="3"/>
      <c r="B46" s="8" t="s">
        <v>75</v>
      </c>
      <c r="C46" s="8"/>
      <c r="D46" s="8"/>
      <c r="E46" s="8"/>
      <c r="F46" s="8"/>
      <c r="G46" s="35"/>
      <c r="H46" s="8"/>
      <c r="I46" s="16"/>
      <c r="J46" s="35">
        <f>F46*G46+H46*I46</f>
        <v>0</v>
      </c>
      <c r="K46" s="16" t="e">
        <f>E46/(J46)</f>
        <v>#DIV/0!</v>
      </c>
      <c r="L46" s="3"/>
      <c r="M46" s="26">
        <f>E46+'6-27-22'!M46</f>
        <v>0</v>
      </c>
      <c r="N46" s="53" t="e">
        <f>M46/C46</f>
        <v>#DIV/0!</v>
      </c>
      <c r="O46" s="35">
        <f>J46+'6-27-22'!O46</f>
        <v>253.5</v>
      </c>
      <c r="P46" s="26">
        <f>M46/O46</f>
        <v>0</v>
      </c>
    </row>
    <row r="47" spans="1:16" ht="15.6" x14ac:dyDescent="0.3">
      <c r="A47" s="3"/>
      <c r="B47" s="3" t="s">
        <v>27</v>
      </c>
      <c r="C47" s="3"/>
      <c r="D47" s="3" t="s">
        <v>52</v>
      </c>
      <c r="E47" s="3"/>
      <c r="F47" s="3"/>
      <c r="G47" s="3"/>
      <c r="H47" s="30"/>
      <c r="I47" s="4"/>
      <c r="J47" s="3">
        <f>J20+J22+J24+J26+J28+J30+J32+J34+J36+J38+J40+J42+J44+J46</f>
        <v>81</v>
      </c>
      <c r="K47" s="3"/>
      <c r="L47" s="3"/>
      <c r="M47" s="3"/>
      <c r="N47" s="3"/>
      <c r="O47" s="3">
        <f>O20+O22+O24+O26+O28+O30+O32+O34+O36+O38+O40+O42+O44+O46</f>
        <v>3240.5</v>
      </c>
      <c r="P47" s="3"/>
    </row>
    <row r="48" spans="1:16" ht="15.6" x14ac:dyDescent="0.3">
      <c r="A48" s="3"/>
      <c r="B48" s="3"/>
      <c r="C48" s="3"/>
      <c r="D48" s="3"/>
      <c r="E48" s="3"/>
      <c r="F48" s="3"/>
      <c r="G48" s="3"/>
      <c r="H48" s="3"/>
      <c r="I48" s="4"/>
      <c r="J48" s="3"/>
      <c r="K48" s="3"/>
      <c r="L48" s="3"/>
      <c r="M48" s="3"/>
      <c r="N48" s="3"/>
      <c r="O48" s="3"/>
      <c r="P48" s="3"/>
    </row>
    <row r="49" spans="1:16" ht="15.6" x14ac:dyDescent="0.3">
      <c r="A49" s="3"/>
      <c r="B49" s="3" t="s">
        <v>28</v>
      </c>
      <c r="C49" s="3" t="s">
        <v>220</v>
      </c>
      <c r="D49" s="3"/>
      <c r="E49" s="3"/>
      <c r="F49" s="3"/>
      <c r="G49" s="3"/>
      <c r="H49" s="3"/>
      <c r="I49" s="4"/>
      <c r="J49" s="3"/>
      <c r="K49" s="3"/>
      <c r="L49" s="3"/>
      <c r="M49" s="3"/>
      <c r="N49" s="3"/>
      <c r="O49" s="3"/>
      <c r="P49" s="3"/>
    </row>
    <row r="50" spans="1:16" ht="15.6" x14ac:dyDescent="0.3">
      <c r="C50" s="33"/>
    </row>
    <row r="51" spans="1:16" ht="15.6" x14ac:dyDescent="0.3">
      <c r="B51" s="3" t="s">
        <v>32</v>
      </c>
      <c r="C51" s="33" t="s">
        <v>221</v>
      </c>
    </row>
    <row r="52" spans="1:16" ht="15.6" x14ac:dyDescent="0.3">
      <c r="C52" s="33"/>
    </row>
    <row r="53" spans="1:16" ht="15.6" x14ac:dyDescent="0.3">
      <c r="B53" s="3" t="s">
        <v>33</v>
      </c>
      <c r="C53" s="3" t="s">
        <v>222</v>
      </c>
    </row>
    <row r="54" spans="1:16" ht="15.6" x14ac:dyDescent="0.3">
      <c r="C54" s="33" t="s">
        <v>223</v>
      </c>
    </row>
    <row r="55" spans="1:16" ht="15.6" x14ac:dyDescent="0.3">
      <c r="C55" s="33" t="s">
        <v>52</v>
      </c>
    </row>
    <row r="57" spans="1:16" x14ac:dyDescent="0.3">
      <c r="C57" t="s">
        <v>52</v>
      </c>
      <c r="D57" t="s">
        <v>52</v>
      </c>
    </row>
    <row r="58" spans="1:16" x14ac:dyDescent="0.3">
      <c r="C58" t="s">
        <v>52</v>
      </c>
      <c r="D58" t="s">
        <v>52</v>
      </c>
    </row>
  </sheetData>
  <mergeCells count="2">
    <mergeCell ref="A1:G1"/>
    <mergeCell ref="H7:I7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0EB19-68E0-4471-8872-A27FD108ABB0}">
  <dimension ref="A1:R58"/>
  <sheetViews>
    <sheetView zoomScale="85" zoomScaleNormal="85" workbookViewId="0">
      <selection activeCell="C24" sqref="C24"/>
    </sheetView>
  </sheetViews>
  <sheetFormatPr defaultRowHeight="14.4" x14ac:dyDescent="0.3"/>
  <cols>
    <col min="1" max="1" width="11.33203125" customWidth="1"/>
    <col min="2" max="2" width="29.33203125" customWidth="1"/>
    <col min="3" max="3" width="22.109375" customWidth="1"/>
    <col min="4" max="4" width="14.88671875" customWidth="1"/>
    <col min="5" max="5" width="16.6640625" customWidth="1"/>
    <col min="6" max="6" width="17.44140625" customWidth="1"/>
    <col min="8" max="8" width="20.44140625" customWidth="1"/>
    <col min="13" max="13" width="10.6640625" customWidth="1"/>
    <col min="14" max="14" width="10" bestFit="1" customWidth="1"/>
    <col min="15" max="15" width="10.6640625" customWidth="1"/>
    <col min="18" max="18" width="9.6640625" bestFit="1" customWidth="1"/>
  </cols>
  <sheetData>
    <row r="1" spans="1:18" ht="18" x14ac:dyDescent="0.35">
      <c r="A1" s="66" t="s">
        <v>0</v>
      </c>
      <c r="B1" s="66"/>
      <c r="C1" s="66"/>
      <c r="D1" s="66"/>
      <c r="E1" s="66"/>
      <c r="F1" s="66"/>
      <c r="G1" s="66"/>
      <c r="H1" s="1"/>
      <c r="I1" s="2"/>
      <c r="J1" s="1"/>
      <c r="K1" s="1"/>
      <c r="L1" s="1"/>
      <c r="M1" s="1"/>
      <c r="N1" s="1"/>
      <c r="O1" s="1"/>
      <c r="P1" s="1"/>
    </row>
    <row r="2" spans="1:18" ht="15.6" x14ac:dyDescent="0.3">
      <c r="A2" s="3"/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</row>
    <row r="3" spans="1:18" ht="15.6" x14ac:dyDescent="0.3">
      <c r="A3" s="3"/>
      <c r="B3" s="5" t="s">
        <v>1</v>
      </c>
      <c r="C3" s="6" t="s">
        <v>43</v>
      </c>
      <c r="D3" s="7"/>
      <c r="E3" s="3"/>
      <c r="F3" s="5" t="s">
        <v>2</v>
      </c>
      <c r="G3" s="8">
        <v>4355</v>
      </c>
      <c r="H3" s="34" t="s">
        <v>41</v>
      </c>
      <c r="I3" s="35">
        <v>49</v>
      </c>
      <c r="J3" s="3"/>
      <c r="K3" s="3"/>
      <c r="L3" s="3"/>
      <c r="N3" s="3" t="s">
        <v>163</v>
      </c>
      <c r="O3" s="3"/>
      <c r="P3" s="3"/>
      <c r="Q3" s="61" t="s">
        <v>196</v>
      </c>
      <c r="R3" s="62">
        <v>44702</v>
      </c>
    </row>
    <row r="4" spans="1:18" ht="15.6" x14ac:dyDescent="0.3">
      <c r="A4" s="3"/>
      <c r="B4" s="5" t="s">
        <v>3</v>
      </c>
      <c r="C4" s="37">
        <v>300155</v>
      </c>
      <c r="D4" s="7"/>
      <c r="E4" s="3"/>
      <c r="F4" s="5" t="s">
        <v>4</v>
      </c>
      <c r="G4" s="56">
        <f>J16+'6-26-22'!G4</f>
        <v>3159.5</v>
      </c>
      <c r="H4" s="34" t="s">
        <v>42</v>
      </c>
      <c r="I4" s="16">
        <v>43</v>
      </c>
      <c r="J4" s="58"/>
      <c r="K4" s="3"/>
      <c r="L4" s="3"/>
      <c r="M4" s="3"/>
      <c r="N4" s="3"/>
      <c r="O4" s="3"/>
      <c r="P4" s="3" t="s">
        <v>52</v>
      </c>
      <c r="Q4" s="61" t="s">
        <v>196</v>
      </c>
      <c r="R4" s="62">
        <v>44732</v>
      </c>
    </row>
    <row r="5" spans="1:18" ht="15.6" x14ac:dyDescent="0.3">
      <c r="A5" s="3"/>
      <c r="B5" s="5" t="s">
        <v>5</v>
      </c>
      <c r="C5" s="38">
        <v>44739</v>
      </c>
      <c r="D5" s="3"/>
      <c r="E5" s="3"/>
      <c r="F5" s="3"/>
      <c r="G5" s="59">
        <f>G4/G3</f>
        <v>0.72548794489092994</v>
      </c>
      <c r="H5" s="3"/>
      <c r="I5" s="60">
        <f>I4/I3</f>
        <v>0.87755102040816324</v>
      </c>
      <c r="J5" s="3"/>
      <c r="K5" s="3"/>
      <c r="L5" s="3"/>
      <c r="M5" s="3"/>
      <c r="N5" s="3"/>
      <c r="O5" s="3"/>
      <c r="P5" s="3"/>
      <c r="Q5" s="61"/>
      <c r="R5" s="61"/>
    </row>
    <row r="6" spans="1:18" ht="15.6" x14ac:dyDescent="0.3">
      <c r="A6" s="3"/>
      <c r="B6" s="5"/>
      <c r="C6" s="3"/>
      <c r="D6" s="3"/>
      <c r="E6" s="3"/>
      <c r="F6" s="3"/>
      <c r="G6" s="3"/>
      <c r="H6" s="3"/>
      <c r="I6" s="4"/>
      <c r="J6" s="3"/>
      <c r="K6" s="30"/>
      <c r="L6" s="3"/>
      <c r="M6" s="3"/>
      <c r="N6" s="3"/>
      <c r="O6" s="3"/>
      <c r="P6" s="3"/>
      <c r="Q6" s="61"/>
      <c r="R6" s="61"/>
    </row>
    <row r="7" spans="1:18" ht="15.6" x14ac:dyDescent="0.3">
      <c r="A7" s="10" t="s">
        <v>6</v>
      </c>
      <c r="B7" s="11"/>
      <c r="C7" s="12" t="s">
        <v>7</v>
      </c>
      <c r="D7" s="3"/>
      <c r="E7" s="12" t="s">
        <v>8</v>
      </c>
      <c r="F7" s="12" t="s">
        <v>34</v>
      </c>
      <c r="G7" s="3"/>
      <c r="H7" s="67" t="s">
        <v>7</v>
      </c>
      <c r="I7" s="67"/>
      <c r="J7" s="12" t="s">
        <v>8</v>
      </c>
      <c r="K7" s="3"/>
      <c r="L7" s="3"/>
      <c r="M7" s="3"/>
      <c r="N7" s="3"/>
      <c r="O7" s="3"/>
      <c r="P7" s="3"/>
      <c r="Q7" s="61"/>
      <c r="R7" s="61"/>
    </row>
    <row r="8" spans="1:18" ht="15.6" x14ac:dyDescent="0.3">
      <c r="A8" s="13">
        <v>1</v>
      </c>
      <c r="B8" s="5" t="s">
        <v>9</v>
      </c>
      <c r="C8" s="14" t="s">
        <v>35</v>
      </c>
      <c r="D8" s="15"/>
      <c r="E8" s="35">
        <v>9.5</v>
      </c>
      <c r="F8" s="16">
        <v>66</v>
      </c>
      <c r="G8" s="11">
        <v>9</v>
      </c>
      <c r="H8" s="14" t="s">
        <v>40</v>
      </c>
      <c r="I8" s="8"/>
      <c r="J8" s="35">
        <v>9.5</v>
      </c>
      <c r="K8" s="3"/>
      <c r="L8" s="3"/>
      <c r="M8" s="3"/>
      <c r="N8" s="3"/>
      <c r="O8" s="3"/>
      <c r="P8" s="3"/>
      <c r="Q8" s="61"/>
      <c r="R8" s="61"/>
    </row>
    <row r="9" spans="1:18" ht="15.6" x14ac:dyDescent="0.3">
      <c r="A9" s="13">
        <v>2</v>
      </c>
      <c r="B9" s="5" t="s">
        <v>10</v>
      </c>
      <c r="C9" s="14" t="s">
        <v>37</v>
      </c>
      <c r="D9" s="8"/>
      <c r="E9" s="35">
        <v>9.5</v>
      </c>
      <c r="F9" s="16"/>
      <c r="G9" s="11">
        <v>10</v>
      </c>
      <c r="H9" s="14"/>
      <c r="I9" s="8"/>
      <c r="J9" s="39"/>
      <c r="K9" s="3"/>
      <c r="L9" s="3"/>
      <c r="M9" s="3"/>
      <c r="N9" s="3"/>
      <c r="O9" s="3"/>
      <c r="P9" s="3"/>
      <c r="Q9" s="61"/>
      <c r="R9" s="61"/>
    </row>
    <row r="10" spans="1:18" ht="15.6" x14ac:dyDescent="0.3">
      <c r="A10" s="13">
        <v>3</v>
      </c>
      <c r="B10" s="5" t="s">
        <v>11</v>
      </c>
      <c r="C10" s="14" t="s">
        <v>36</v>
      </c>
      <c r="D10" s="8"/>
      <c r="E10" s="35">
        <v>9.5</v>
      </c>
      <c r="F10" s="16">
        <v>78</v>
      </c>
      <c r="G10" s="11">
        <v>11</v>
      </c>
      <c r="H10" s="3"/>
      <c r="I10" s="8"/>
      <c r="J10" s="39"/>
      <c r="K10" s="3"/>
      <c r="L10" s="3"/>
      <c r="M10" s="3"/>
      <c r="N10" s="3"/>
      <c r="O10" s="3"/>
      <c r="P10" s="3"/>
      <c r="Q10" s="61"/>
      <c r="R10" s="61"/>
    </row>
    <row r="11" spans="1:18" ht="15.6" x14ac:dyDescent="0.3">
      <c r="A11" s="13">
        <v>4</v>
      </c>
      <c r="B11" s="5" t="s">
        <v>12</v>
      </c>
      <c r="C11" s="14" t="s">
        <v>29</v>
      </c>
      <c r="D11" s="8"/>
      <c r="E11" s="35">
        <v>9.5</v>
      </c>
      <c r="F11" s="16"/>
      <c r="G11" s="11">
        <v>12</v>
      </c>
      <c r="H11" s="3"/>
      <c r="I11" s="8"/>
      <c r="J11" s="39"/>
      <c r="K11" s="3"/>
      <c r="L11" s="3"/>
      <c r="M11" s="3"/>
      <c r="N11" s="3"/>
      <c r="O11" s="3"/>
      <c r="P11" s="3"/>
      <c r="Q11" s="61"/>
      <c r="R11" s="61"/>
    </row>
    <row r="12" spans="1:18" ht="15.6" x14ac:dyDescent="0.3">
      <c r="A12" s="13">
        <v>5</v>
      </c>
      <c r="B12" s="3"/>
      <c r="C12" s="31" t="s">
        <v>30</v>
      </c>
      <c r="D12" s="8"/>
      <c r="E12" s="35">
        <v>9.5</v>
      </c>
      <c r="F12" s="16"/>
      <c r="G12" s="11">
        <v>13</v>
      </c>
      <c r="H12" s="3"/>
      <c r="I12" s="8"/>
      <c r="J12" s="39"/>
      <c r="K12" s="3"/>
      <c r="L12" s="3"/>
      <c r="M12" s="3"/>
      <c r="N12" s="3"/>
      <c r="O12" s="3"/>
      <c r="P12" s="3"/>
    </row>
    <row r="13" spans="1:18" ht="15.6" x14ac:dyDescent="0.3">
      <c r="A13" s="13">
        <v>6</v>
      </c>
      <c r="B13" s="3"/>
      <c r="C13" s="14" t="s">
        <v>31</v>
      </c>
      <c r="D13" s="8"/>
      <c r="E13" s="35">
        <v>9.5</v>
      </c>
      <c r="F13" s="16">
        <v>74</v>
      </c>
      <c r="G13" s="11">
        <v>14</v>
      </c>
      <c r="H13" s="18"/>
      <c r="I13" s="8"/>
      <c r="J13" s="39"/>
      <c r="K13" s="3"/>
      <c r="L13" s="3"/>
      <c r="M13" s="3"/>
      <c r="N13" s="3"/>
      <c r="O13" s="3"/>
      <c r="P13" s="3"/>
    </row>
    <row r="14" spans="1:18" ht="15.6" x14ac:dyDescent="0.3">
      <c r="A14" s="13">
        <v>7</v>
      </c>
      <c r="B14" s="5" t="s">
        <v>52</v>
      </c>
      <c r="C14" s="14" t="s">
        <v>39</v>
      </c>
      <c r="D14" s="8"/>
      <c r="E14" s="35">
        <v>9.5</v>
      </c>
      <c r="F14" s="16"/>
      <c r="G14" s="11">
        <v>15</v>
      </c>
      <c r="H14" s="3"/>
      <c r="I14" s="8"/>
      <c r="J14" s="39"/>
      <c r="K14" s="3"/>
      <c r="L14" s="3"/>
      <c r="M14" s="3"/>
      <c r="N14" s="3"/>
      <c r="O14" s="3"/>
      <c r="P14" s="3"/>
    </row>
    <row r="15" spans="1:18" ht="15.6" x14ac:dyDescent="0.3">
      <c r="A15" s="13">
        <v>8</v>
      </c>
      <c r="B15" s="3"/>
      <c r="C15" s="14" t="s">
        <v>38</v>
      </c>
      <c r="D15" s="8"/>
      <c r="E15" s="35">
        <v>9.5</v>
      </c>
      <c r="F15" s="16"/>
      <c r="G15" s="11">
        <v>16</v>
      </c>
      <c r="H15" s="3"/>
      <c r="I15" s="8"/>
      <c r="J15" s="39"/>
      <c r="K15" s="3"/>
      <c r="L15" s="3"/>
      <c r="M15" s="3"/>
      <c r="N15" s="3"/>
      <c r="O15" s="3"/>
      <c r="P15" s="3"/>
    </row>
    <row r="16" spans="1:18" ht="15.6" x14ac:dyDescent="0.3">
      <c r="A16" s="3"/>
      <c r="B16" s="3"/>
      <c r="C16" s="3"/>
      <c r="D16" s="3"/>
      <c r="E16" s="3"/>
      <c r="F16" s="3"/>
      <c r="G16" s="13"/>
      <c r="H16" s="7" t="s">
        <v>13</v>
      </c>
      <c r="I16" s="3"/>
      <c r="J16" s="8">
        <f>SUM(E8:E15)+SUM(J8:J15)</f>
        <v>85.5</v>
      </c>
      <c r="K16" s="3"/>
      <c r="L16" s="3"/>
      <c r="M16" s="3"/>
      <c r="N16" s="3"/>
      <c r="O16" s="3"/>
      <c r="P16" s="3"/>
    </row>
    <row r="17" spans="1:16" ht="15.6" x14ac:dyDescent="0.3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  <c r="L17" s="3"/>
      <c r="M17" s="3"/>
      <c r="N17" s="3"/>
      <c r="O17" s="3"/>
      <c r="P17" s="3"/>
    </row>
    <row r="18" spans="1:16" ht="93.6" x14ac:dyDescent="0.3">
      <c r="A18" s="19"/>
      <c r="B18" s="20" t="s">
        <v>14</v>
      </c>
      <c r="C18" s="21" t="s">
        <v>15</v>
      </c>
      <c r="D18" s="22" t="s">
        <v>16</v>
      </c>
      <c r="E18" s="22" t="s">
        <v>17</v>
      </c>
      <c r="F18" s="22" t="s">
        <v>18</v>
      </c>
      <c r="G18" s="22" t="s">
        <v>19</v>
      </c>
      <c r="H18" s="22" t="s">
        <v>18</v>
      </c>
      <c r="I18" s="22" t="s">
        <v>19</v>
      </c>
      <c r="J18" s="22" t="s">
        <v>20</v>
      </c>
      <c r="K18" s="23" t="s">
        <v>21</v>
      </c>
      <c r="L18" s="24"/>
      <c r="M18" s="23" t="s">
        <v>22</v>
      </c>
      <c r="N18" s="23" t="s">
        <v>23</v>
      </c>
      <c r="O18" s="23" t="s">
        <v>24</v>
      </c>
      <c r="P18" s="23" t="s">
        <v>25</v>
      </c>
    </row>
    <row r="19" spans="1:16" ht="15.6" x14ac:dyDescent="0.3">
      <c r="A19" s="19"/>
      <c r="B19" s="19"/>
      <c r="C19" s="24"/>
      <c r="D19" s="24"/>
      <c r="E19" s="24"/>
      <c r="F19" s="24"/>
      <c r="G19" s="24"/>
      <c r="H19" s="24"/>
      <c r="I19" s="24"/>
      <c r="J19" s="24"/>
      <c r="K19" s="25"/>
      <c r="L19" s="24"/>
      <c r="M19" s="3"/>
      <c r="N19" s="3"/>
      <c r="O19" s="3"/>
      <c r="P19" s="3"/>
    </row>
    <row r="20" spans="1:16" ht="15.6" x14ac:dyDescent="0.3">
      <c r="A20" s="3"/>
      <c r="B20" s="8" t="s">
        <v>26</v>
      </c>
      <c r="C20" s="8">
        <v>1</v>
      </c>
      <c r="D20" s="8">
        <v>1</v>
      </c>
      <c r="E20" s="8"/>
      <c r="F20" s="8"/>
      <c r="G20" s="35">
        <v>0</v>
      </c>
      <c r="H20" s="8"/>
      <c r="I20" s="16"/>
      <c r="J20" s="35">
        <f>F20*G20+H20*I20</f>
        <v>0</v>
      </c>
      <c r="K20" s="16" t="e">
        <f>E20/(J20)</f>
        <v>#DIV/0!</v>
      </c>
      <c r="L20" s="3"/>
      <c r="M20" s="26">
        <v>0</v>
      </c>
      <c r="N20" s="27">
        <f>M20/C20</f>
        <v>0</v>
      </c>
      <c r="O20" s="35">
        <f>J20+'6-26-22'!O20</f>
        <v>108</v>
      </c>
      <c r="P20" s="26">
        <f>M20/O20</f>
        <v>0</v>
      </c>
    </row>
    <row r="21" spans="1:16" ht="15.6" x14ac:dyDescent="0.3">
      <c r="A21" s="3"/>
      <c r="B21" s="3"/>
      <c r="C21" s="3"/>
      <c r="D21" s="3"/>
      <c r="E21" s="3"/>
      <c r="F21" s="3"/>
      <c r="G21" s="40"/>
      <c r="H21" s="3"/>
      <c r="I21" s="28"/>
      <c r="J21" s="40"/>
      <c r="K21" s="28"/>
      <c r="L21" s="3"/>
      <c r="M21" s="29"/>
      <c r="N21" s="3"/>
      <c r="O21" s="3"/>
      <c r="P21" s="3"/>
    </row>
    <row r="22" spans="1:16" ht="15.6" x14ac:dyDescent="0.3">
      <c r="A22" s="3"/>
      <c r="B22" s="8" t="s">
        <v>53</v>
      </c>
      <c r="C22" s="8">
        <v>125400</v>
      </c>
      <c r="D22" s="41"/>
      <c r="E22" s="41"/>
      <c r="F22" s="8"/>
      <c r="G22" s="35"/>
      <c r="H22" s="8"/>
      <c r="I22" s="16"/>
      <c r="J22" s="35">
        <f>F22*G22+H22*I22</f>
        <v>0</v>
      </c>
      <c r="K22" s="16" t="e">
        <f>E22/(J22)</f>
        <v>#DIV/0!</v>
      </c>
      <c r="L22" s="3"/>
      <c r="M22" s="26">
        <f>E22+'6-26-22'!M22</f>
        <v>125400</v>
      </c>
      <c r="N22" s="27">
        <f>M22/C22</f>
        <v>1</v>
      </c>
      <c r="O22" s="35">
        <f>J22+'6-26-22'!O22</f>
        <v>679.75</v>
      </c>
      <c r="P22" s="26">
        <f>M22/O22</f>
        <v>184.47958808385437</v>
      </c>
    </row>
    <row r="23" spans="1:16" ht="15.6" x14ac:dyDescent="0.3">
      <c r="A23" s="3"/>
      <c r="B23" s="3"/>
      <c r="C23" s="3"/>
      <c r="D23" s="3"/>
      <c r="E23" s="3"/>
      <c r="F23" s="3"/>
      <c r="G23" s="40"/>
      <c r="H23" s="3"/>
      <c r="I23" s="28"/>
      <c r="J23" s="40"/>
      <c r="K23" s="28"/>
      <c r="L23" s="3"/>
      <c r="M23" s="29"/>
      <c r="N23" s="3"/>
      <c r="O23" s="36"/>
      <c r="P23" s="29"/>
    </row>
    <row r="24" spans="1:16" ht="15.6" x14ac:dyDescent="0.3">
      <c r="A24" s="3"/>
      <c r="B24" s="8" t="s">
        <v>54</v>
      </c>
      <c r="C24" s="8">
        <v>125400</v>
      </c>
      <c r="D24" s="8"/>
      <c r="E24" s="8"/>
      <c r="F24" s="8"/>
      <c r="G24" s="35"/>
      <c r="H24" s="8"/>
      <c r="I24" s="16"/>
      <c r="J24" s="35">
        <f>F24*G24+H24*I24</f>
        <v>0</v>
      </c>
      <c r="K24" s="16" t="e">
        <f>E24/(J24)</f>
        <v>#DIV/0!</v>
      </c>
      <c r="L24" s="3"/>
      <c r="M24" s="26">
        <f>E24+'6-26-22'!M24</f>
        <v>125400</v>
      </c>
      <c r="N24" s="27">
        <f>M24/C24</f>
        <v>1</v>
      </c>
      <c r="O24" s="35">
        <f>J24+'6-26-22'!O24</f>
        <v>449.75</v>
      </c>
      <c r="P24" s="26">
        <f>M24/O24</f>
        <v>278.82156753752082</v>
      </c>
    </row>
    <row r="25" spans="1:16" ht="15.6" x14ac:dyDescent="0.3">
      <c r="A25" s="3"/>
      <c r="B25" s="3"/>
      <c r="C25" s="3"/>
      <c r="D25" s="3"/>
      <c r="E25" s="3"/>
      <c r="F25" s="3"/>
      <c r="G25" s="36"/>
      <c r="H25" s="3"/>
      <c r="I25" s="4"/>
      <c r="J25" s="36"/>
      <c r="K25" s="4"/>
      <c r="L25" s="3"/>
      <c r="M25" s="29"/>
      <c r="N25" s="3"/>
      <c r="O25" s="3"/>
      <c r="P25" s="3"/>
    </row>
    <row r="26" spans="1:16" ht="15.6" x14ac:dyDescent="0.3">
      <c r="A26" s="3"/>
      <c r="B26" s="8" t="s">
        <v>44</v>
      </c>
      <c r="C26" s="8">
        <v>3040</v>
      </c>
      <c r="D26" s="8"/>
      <c r="E26" s="8">
        <v>1524</v>
      </c>
      <c r="F26" s="8"/>
      <c r="G26" s="35"/>
      <c r="H26" s="8"/>
      <c r="I26" s="16"/>
      <c r="J26" s="35">
        <f>F26*G26+H26*I26</f>
        <v>0</v>
      </c>
      <c r="K26" s="16" t="e">
        <f>E26/(J26)</f>
        <v>#DIV/0!</v>
      </c>
      <c r="L26" s="3"/>
      <c r="M26" s="26">
        <f>E26+'6-26-22'!M26</f>
        <v>3040</v>
      </c>
      <c r="N26" s="27">
        <f>M26/C26</f>
        <v>1</v>
      </c>
      <c r="O26" s="35">
        <f>J26+'6-26-22'!O26</f>
        <v>121.25</v>
      </c>
      <c r="P26" s="26">
        <f>M26/O26</f>
        <v>25.072164948453608</v>
      </c>
    </row>
    <row r="27" spans="1:16" ht="15.6" x14ac:dyDescent="0.3">
      <c r="A27" s="3"/>
      <c r="B27" s="3"/>
      <c r="C27" s="3"/>
      <c r="D27" s="3"/>
      <c r="E27" s="3"/>
      <c r="F27" s="3"/>
      <c r="G27" s="36"/>
      <c r="H27" s="3"/>
      <c r="I27" s="4"/>
      <c r="J27" s="36"/>
      <c r="K27" s="4"/>
      <c r="L27" s="3"/>
      <c r="M27" s="29"/>
      <c r="N27" s="3"/>
      <c r="O27" s="3"/>
      <c r="P27" s="3"/>
    </row>
    <row r="28" spans="1:16" ht="15.6" x14ac:dyDescent="0.3">
      <c r="A28" s="3"/>
      <c r="B28" s="8" t="s">
        <v>45</v>
      </c>
      <c r="C28" s="8">
        <v>3040</v>
      </c>
      <c r="D28" s="8"/>
      <c r="E28" s="8">
        <v>243</v>
      </c>
      <c r="F28" s="8">
        <v>9</v>
      </c>
      <c r="G28" s="35">
        <v>5.5</v>
      </c>
      <c r="H28" s="8"/>
      <c r="I28" s="35"/>
      <c r="J28" s="35">
        <f>F28*G28+H28*I28</f>
        <v>49.5</v>
      </c>
      <c r="K28" s="16">
        <f>E28/(J28)</f>
        <v>4.9090909090909092</v>
      </c>
      <c r="L28" s="3"/>
      <c r="M28" s="26">
        <f>E28+'6-26-22'!M28</f>
        <v>1547</v>
      </c>
      <c r="N28" s="27">
        <f>M28/C28</f>
        <v>0.50888157894736841</v>
      </c>
      <c r="O28" s="35">
        <f>J28+'6-26-22'!O28</f>
        <v>459.25</v>
      </c>
      <c r="P28" s="26">
        <f>M28/O28</f>
        <v>3.3685356559608057</v>
      </c>
    </row>
    <row r="29" spans="1:16" ht="15.6" x14ac:dyDescent="0.3">
      <c r="A29" s="3"/>
      <c r="B29" s="3"/>
      <c r="C29" s="3"/>
      <c r="D29" s="3"/>
      <c r="E29" s="3"/>
      <c r="F29" s="3"/>
      <c r="G29" s="36"/>
      <c r="H29" s="3"/>
      <c r="I29" s="4"/>
      <c r="J29" s="36"/>
      <c r="K29" s="4"/>
      <c r="L29" s="3"/>
      <c r="M29" s="29"/>
      <c r="N29" s="3"/>
      <c r="O29" s="3"/>
      <c r="P29" s="3"/>
    </row>
    <row r="30" spans="1:16" ht="15.6" x14ac:dyDescent="0.3">
      <c r="A30" s="3"/>
      <c r="B30" s="8" t="s">
        <v>47</v>
      </c>
      <c r="C30" s="8">
        <v>123400</v>
      </c>
      <c r="D30" s="8"/>
      <c r="E30" s="8"/>
      <c r="F30" s="8"/>
      <c r="G30" s="35"/>
      <c r="H30" s="8"/>
      <c r="I30" s="35"/>
      <c r="J30" s="35">
        <f>F30*G30+H30*I30</f>
        <v>0</v>
      </c>
      <c r="K30" s="16" t="e">
        <f>E30/(J30)</f>
        <v>#DIV/0!</v>
      </c>
      <c r="L30" s="3"/>
      <c r="M30" s="26">
        <f>E30+'6-26-22'!M30</f>
        <v>123400</v>
      </c>
      <c r="N30" s="27">
        <f>M30/C30</f>
        <v>1</v>
      </c>
      <c r="O30" s="35">
        <f>J30+'6-26-22'!O30</f>
        <v>645.5</v>
      </c>
      <c r="P30" s="26">
        <f>M30/O30</f>
        <v>191.16963594113091</v>
      </c>
    </row>
    <row r="31" spans="1:16" ht="15.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7"/>
      <c r="O31" s="3"/>
      <c r="P31" s="3"/>
    </row>
    <row r="32" spans="1:16" ht="15.6" x14ac:dyDescent="0.3">
      <c r="A32" s="3"/>
      <c r="B32" s="8" t="s">
        <v>46</v>
      </c>
      <c r="C32" s="8">
        <v>303</v>
      </c>
      <c r="D32" s="8"/>
      <c r="E32" s="8"/>
      <c r="F32" s="8"/>
      <c r="G32" s="35"/>
      <c r="H32" s="8"/>
      <c r="I32" s="16"/>
      <c r="J32" s="35">
        <f>F32*G32+H32*I32</f>
        <v>0</v>
      </c>
      <c r="K32" s="16" t="e">
        <f>E32/(J32)</f>
        <v>#DIV/0!</v>
      </c>
      <c r="L32" s="3"/>
      <c r="M32" s="26">
        <f>E32+'6-26-22'!M32</f>
        <v>303</v>
      </c>
      <c r="N32" s="27">
        <f>M32/C32</f>
        <v>1</v>
      </c>
      <c r="O32" s="35">
        <f>J32+'6-26-22'!O32</f>
        <v>166.5</v>
      </c>
      <c r="P32" s="26">
        <f>M32/O32</f>
        <v>1.8198198198198199</v>
      </c>
    </row>
    <row r="33" spans="1:16" ht="15.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7"/>
      <c r="O33" s="3"/>
      <c r="P33" s="3"/>
    </row>
    <row r="34" spans="1:16" ht="15.6" x14ac:dyDescent="0.3">
      <c r="A34" s="3"/>
      <c r="B34" s="8" t="s">
        <v>48</v>
      </c>
      <c r="C34" s="8">
        <v>115000</v>
      </c>
      <c r="D34" s="8" t="s">
        <v>215</v>
      </c>
      <c r="E34" s="8"/>
      <c r="F34" s="8">
        <v>9</v>
      </c>
      <c r="G34" s="35">
        <v>4</v>
      </c>
      <c r="H34" s="8"/>
      <c r="I34" s="16"/>
      <c r="J34" s="35">
        <f>F34*G34+H34*I34</f>
        <v>36</v>
      </c>
      <c r="K34" s="16">
        <f>E34/(J34)</f>
        <v>0</v>
      </c>
      <c r="L34" s="3"/>
      <c r="M34" s="26">
        <f>E34+'6-26-22'!M34</f>
        <v>0</v>
      </c>
      <c r="N34" s="27">
        <f>M34/C34</f>
        <v>0</v>
      </c>
      <c r="O34" s="35">
        <f>J34+'6-26-22'!O34</f>
        <v>36</v>
      </c>
      <c r="P34" s="26">
        <f>M34/O34</f>
        <v>0</v>
      </c>
    </row>
    <row r="35" spans="1:16" ht="15.6" x14ac:dyDescent="0.3">
      <c r="A35" s="3"/>
      <c r="B35" s="3"/>
      <c r="C35" s="3"/>
      <c r="D35" s="3" t="s">
        <v>216</v>
      </c>
      <c r="E35" s="3"/>
      <c r="F35" s="3"/>
      <c r="G35" s="3"/>
      <c r="H35" s="3"/>
      <c r="I35" s="3"/>
      <c r="J35" s="3"/>
      <c r="K35" s="3"/>
      <c r="L35" s="3"/>
      <c r="M35" s="3"/>
      <c r="N35" s="27"/>
      <c r="O35" s="3"/>
      <c r="P35" s="3"/>
    </row>
    <row r="36" spans="1:16" ht="15.6" x14ac:dyDescent="0.3">
      <c r="A36" s="3"/>
      <c r="B36" s="8" t="s">
        <v>49</v>
      </c>
      <c r="C36" s="8">
        <v>8</v>
      </c>
      <c r="D36" s="8"/>
      <c r="E36" s="8"/>
      <c r="F36" s="8"/>
      <c r="G36" s="35"/>
      <c r="H36" s="8"/>
      <c r="I36" s="16"/>
      <c r="J36" s="35">
        <f>F36*G36+H36*I36</f>
        <v>0</v>
      </c>
      <c r="K36" s="16" t="e">
        <f>E36/(J36)</f>
        <v>#DIV/0!</v>
      </c>
      <c r="L36" s="3"/>
      <c r="M36" s="26">
        <f>E36+'6-26-22'!M36</f>
        <v>8</v>
      </c>
      <c r="N36" s="27">
        <f>M36/C36</f>
        <v>1</v>
      </c>
      <c r="O36" s="35">
        <f>J36+'6-26-22'!O36</f>
        <v>69</v>
      </c>
      <c r="P36" s="26">
        <f>M36/O36</f>
        <v>0.11594202898550725</v>
      </c>
    </row>
    <row r="37" spans="1:16" ht="15.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27"/>
      <c r="O37" s="3"/>
      <c r="P37" s="3"/>
    </row>
    <row r="38" spans="1:16" ht="15.6" x14ac:dyDescent="0.3">
      <c r="A38" s="3"/>
      <c r="B38" s="8" t="s">
        <v>50</v>
      </c>
      <c r="C38" s="8">
        <f>2760+480</f>
        <v>3240</v>
      </c>
      <c r="D38" s="8"/>
      <c r="E38" s="8"/>
      <c r="F38" s="8"/>
      <c r="G38" s="35"/>
      <c r="H38" s="8"/>
      <c r="I38" s="16"/>
      <c r="J38" s="35">
        <f>F38*G38+H38*I38</f>
        <v>0</v>
      </c>
      <c r="K38" s="16" t="e">
        <f>E38/(J38)</f>
        <v>#DIV/0!</v>
      </c>
      <c r="L38" s="3"/>
      <c r="M38" s="26">
        <f>E38+'6-26-22'!M38</f>
        <v>1635</v>
      </c>
      <c r="N38" s="27">
        <f>M38/C38</f>
        <v>0.50462962962962965</v>
      </c>
      <c r="O38" s="35">
        <f>J38+'6-26-22'!O38</f>
        <v>72</v>
      </c>
      <c r="P38" s="26">
        <f>M38/O38</f>
        <v>22.708333333333332</v>
      </c>
    </row>
    <row r="39" spans="1:16" ht="15.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7"/>
      <c r="O39" s="3"/>
      <c r="P39" s="3"/>
    </row>
    <row r="40" spans="1:16" ht="15.6" x14ac:dyDescent="0.3">
      <c r="A40" s="3"/>
      <c r="B40" s="8" t="s">
        <v>115</v>
      </c>
      <c r="C40" s="8">
        <v>123</v>
      </c>
      <c r="D40" s="8"/>
      <c r="E40" s="8"/>
      <c r="F40" s="8"/>
      <c r="G40" s="35"/>
      <c r="H40" s="8"/>
      <c r="I40" s="16"/>
      <c r="J40" s="35">
        <f>F40*G40+H40*I40</f>
        <v>0</v>
      </c>
      <c r="K40" s="16" t="e">
        <f>E40/(J40)</f>
        <v>#DIV/0!</v>
      </c>
      <c r="L40" s="3"/>
      <c r="M40" s="26">
        <f>E40+'6-26-22'!M40</f>
        <v>0</v>
      </c>
      <c r="N40" s="27">
        <f>M40/C40</f>
        <v>0</v>
      </c>
      <c r="O40" s="35">
        <f>J40+'6-26-22'!O40</f>
        <v>0</v>
      </c>
      <c r="P40" s="35" t="e">
        <f>M40/O40</f>
        <v>#DIV/0!</v>
      </c>
    </row>
    <row r="41" spans="1:16" ht="15.6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27"/>
      <c r="O41" s="3"/>
      <c r="P41" s="3"/>
    </row>
    <row r="42" spans="1:16" ht="15.6" x14ac:dyDescent="0.3">
      <c r="A42" s="3"/>
      <c r="B42" s="8" t="s">
        <v>113</v>
      </c>
      <c r="C42" s="8" t="s">
        <v>52</v>
      </c>
      <c r="D42" s="8"/>
      <c r="E42" s="8"/>
      <c r="F42" s="8"/>
      <c r="G42" s="35"/>
      <c r="H42" s="8"/>
      <c r="I42" s="16"/>
      <c r="J42" s="35">
        <f>F42*G42+H42*I42</f>
        <v>0</v>
      </c>
      <c r="K42" s="16" t="e">
        <f>E42/(J42)</f>
        <v>#DIV/0!</v>
      </c>
      <c r="L42" s="3"/>
      <c r="M42" s="26">
        <f>E42+'6-26-22'!M42</f>
        <v>0</v>
      </c>
      <c r="N42" s="53" t="e">
        <f>M42/C42</f>
        <v>#VALUE!</v>
      </c>
      <c r="O42" s="35">
        <f>J42+'6-26-22'!O42</f>
        <v>0</v>
      </c>
      <c r="P42" s="35" t="e">
        <f>M42/O42</f>
        <v>#DIV/0!</v>
      </c>
    </row>
    <row r="43" spans="1:16" ht="15.6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27"/>
      <c r="O43" s="3"/>
      <c r="P43" s="3"/>
    </row>
    <row r="44" spans="1:16" ht="15.6" x14ac:dyDescent="0.3">
      <c r="A44" s="3"/>
      <c r="B44" s="8" t="s">
        <v>114</v>
      </c>
      <c r="C44" s="8" t="s">
        <v>52</v>
      </c>
      <c r="D44" s="8"/>
      <c r="E44" s="8"/>
      <c r="F44" s="8"/>
      <c r="G44" s="35"/>
      <c r="H44" s="8"/>
      <c r="I44" s="16"/>
      <c r="J44" s="35">
        <f>F44*G44+H44*I44</f>
        <v>0</v>
      </c>
      <c r="K44" s="16" t="e">
        <f>E44/(J44)</f>
        <v>#DIV/0!</v>
      </c>
      <c r="L44" s="3"/>
      <c r="M44" s="26" t="e">
        <f>E44+'6-26-22'!M44</f>
        <v>#VALUE!</v>
      </c>
      <c r="N44" s="53" t="e">
        <f>M44/C44</f>
        <v>#VALUE!</v>
      </c>
      <c r="O44" s="35">
        <f>J44+'6-26-22'!O44</f>
        <v>99</v>
      </c>
      <c r="P44" s="26" t="e">
        <f>M44/O44</f>
        <v>#VALUE!</v>
      </c>
    </row>
    <row r="45" spans="1:16" ht="15.6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27"/>
      <c r="O45" s="3"/>
      <c r="P45" s="3"/>
    </row>
    <row r="46" spans="1:16" ht="15.6" x14ac:dyDescent="0.3">
      <c r="A46" s="3"/>
      <c r="B46" s="8" t="s">
        <v>75</v>
      </c>
      <c r="C46" s="8"/>
      <c r="D46" s="8"/>
      <c r="E46" s="8"/>
      <c r="F46" s="8"/>
      <c r="G46" s="35"/>
      <c r="H46" s="8"/>
      <c r="I46" s="16"/>
      <c r="J46" s="35">
        <f>F46*G46+H46*I46</f>
        <v>0</v>
      </c>
      <c r="K46" s="16" t="e">
        <f>E46/(J46)</f>
        <v>#DIV/0!</v>
      </c>
      <c r="L46" s="3"/>
      <c r="M46" s="26">
        <f>E46+'6-26-22'!M46</f>
        <v>0</v>
      </c>
      <c r="N46" s="53" t="e">
        <f>M46/C46</f>
        <v>#DIV/0!</v>
      </c>
      <c r="O46" s="35">
        <f>J46+'6-26-22'!O46</f>
        <v>253.5</v>
      </c>
      <c r="P46" s="26">
        <f>M46/O46</f>
        <v>0</v>
      </c>
    </row>
    <row r="47" spans="1:16" ht="15.6" x14ac:dyDescent="0.3">
      <c r="A47" s="3"/>
      <c r="B47" s="3" t="s">
        <v>27</v>
      </c>
      <c r="C47" s="3"/>
      <c r="D47" s="3" t="s">
        <v>52</v>
      </c>
      <c r="E47" s="3"/>
      <c r="F47" s="3"/>
      <c r="G47" s="3"/>
      <c r="H47" s="30"/>
      <c r="I47" s="4"/>
      <c r="J47" s="3">
        <f>J20+J22+J24+J26+J28+J30+J32+J34+J36+J38+J40+J42+J44+J46</f>
        <v>85.5</v>
      </c>
      <c r="K47" s="3"/>
      <c r="L47" s="3"/>
      <c r="M47" s="3"/>
      <c r="N47" s="3"/>
      <c r="O47" s="3">
        <f>O20+O22+O24+O26+O28+O30+O32+O34+O36+O38+O40+O42+O44+O46</f>
        <v>3159.5</v>
      </c>
      <c r="P47" s="3"/>
    </row>
    <row r="48" spans="1:16" ht="15.6" x14ac:dyDescent="0.3">
      <c r="A48" s="3"/>
      <c r="B48" s="3"/>
      <c r="C48" s="3"/>
      <c r="D48" s="3"/>
      <c r="E48" s="3"/>
      <c r="F48" s="3"/>
      <c r="G48" s="3"/>
      <c r="H48" s="3"/>
      <c r="I48" s="4"/>
      <c r="J48" s="3"/>
      <c r="K48" s="3"/>
      <c r="L48" s="3"/>
      <c r="M48" s="3"/>
      <c r="N48" s="3"/>
      <c r="O48" s="3"/>
      <c r="P48" s="3"/>
    </row>
    <row r="49" spans="1:16" ht="15.6" x14ac:dyDescent="0.3">
      <c r="A49" s="3"/>
      <c r="B49" s="3" t="s">
        <v>28</v>
      </c>
      <c r="C49" s="3" t="s">
        <v>217</v>
      </c>
      <c r="D49" s="3"/>
      <c r="E49" s="3"/>
      <c r="F49" s="3"/>
      <c r="G49" s="3"/>
      <c r="H49" s="3"/>
      <c r="I49" s="4"/>
      <c r="J49" s="3"/>
      <c r="K49" s="3"/>
      <c r="L49" s="3"/>
      <c r="M49" s="3"/>
      <c r="N49" s="3"/>
      <c r="O49" s="3"/>
      <c r="P49" s="3"/>
    </row>
    <row r="50" spans="1:16" ht="15.6" x14ac:dyDescent="0.3">
      <c r="C50" s="33"/>
    </row>
    <row r="51" spans="1:16" ht="15.6" x14ac:dyDescent="0.3">
      <c r="B51" s="3" t="s">
        <v>32</v>
      </c>
      <c r="C51" s="33" t="s">
        <v>218</v>
      </c>
    </row>
    <row r="52" spans="1:16" ht="15.6" x14ac:dyDescent="0.3">
      <c r="C52" s="33"/>
    </row>
    <row r="53" spans="1:16" ht="15.6" x14ac:dyDescent="0.3">
      <c r="B53" s="3" t="s">
        <v>33</v>
      </c>
      <c r="C53" s="3" t="s">
        <v>219</v>
      </c>
    </row>
    <row r="54" spans="1:16" ht="15.6" x14ac:dyDescent="0.3">
      <c r="C54" s="33"/>
    </row>
    <row r="55" spans="1:16" ht="15.6" x14ac:dyDescent="0.3">
      <c r="C55" s="33" t="s">
        <v>52</v>
      </c>
    </row>
    <row r="57" spans="1:16" x14ac:dyDescent="0.3">
      <c r="C57" t="s">
        <v>52</v>
      </c>
      <c r="D57" t="s">
        <v>52</v>
      </c>
    </row>
    <row r="58" spans="1:16" x14ac:dyDescent="0.3">
      <c r="C58" t="s">
        <v>52</v>
      </c>
      <c r="D58" t="s">
        <v>52</v>
      </c>
    </row>
  </sheetData>
  <mergeCells count="2">
    <mergeCell ref="A1:G1"/>
    <mergeCell ref="H7:I7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02A25-6565-499A-8054-823B952ED45C}">
  <dimension ref="A1:R58"/>
  <sheetViews>
    <sheetView zoomScale="85" zoomScaleNormal="85" workbookViewId="0">
      <selection activeCell="G4" sqref="G4"/>
    </sheetView>
  </sheetViews>
  <sheetFormatPr defaultRowHeight="14.4" x14ac:dyDescent="0.3"/>
  <cols>
    <col min="1" max="1" width="11.33203125" customWidth="1"/>
    <col min="2" max="2" width="29.33203125" customWidth="1"/>
    <col min="3" max="3" width="22.109375" customWidth="1"/>
    <col min="4" max="4" width="14.88671875" customWidth="1"/>
    <col min="5" max="5" width="16.6640625" customWidth="1"/>
    <col min="6" max="6" width="17.44140625" customWidth="1"/>
    <col min="8" max="8" width="20.44140625" customWidth="1"/>
    <col min="13" max="13" width="10.6640625" customWidth="1"/>
    <col min="14" max="14" width="10" bestFit="1" customWidth="1"/>
    <col min="15" max="15" width="10.6640625" customWidth="1"/>
    <col min="18" max="18" width="9.6640625" bestFit="1" customWidth="1"/>
  </cols>
  <sheetData>
    <row r="1" spans="1:18" ht="18" x14ac:dyDescent="0.35">
      <c r="A1" s="66" t="s">
        <v>0</v>
      </c>
      <c r="B1" s="66"/>
      <c r="C1" s="66"/>
      <c r="D1" s="66"/>
      <c r="E1" s="66"/>
      <c r="F1" s="66"/>
      <c r="G1" s="66"/>
      <c r="H1" s="1"/>
      <c r="I1" s="2"/>
      <c r="J1" s="1"/>
      <c r="K1" s="1"/>
      <c r="L1" s="1"/>
      <c r="M1" s="1"/>
      <c r="N1" s="1"/>
      <c r="O1" s="1"/>
      <c r="P1" s="1"/>
    </row>
    <row r="2" spans="1:18" ht="15.6" x14ac:dyDescent="0.3">
      <c r="A2" s="3"/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</row>
    <row r="3" spans="1:18" ht="15.6" x14ac:dyDescent="0.3">
      <c r="A3" s="3"/>
      <c r="B3" s="5" t="s">
        <v>1</v>
      </c>
      <c r="C3" s="6" t="s">
        <v>43</v>
      </c>
      <c r="D3" s="7"/>
      <c r="E3" s="3"/>
      <c r="F3" s="5" t="s">
        <v>2</v>
      </c>
      <c r="G3" s="8">
        <v>4355</v>
      </c>
      <c r="H3" s="34" t="s">
        <v>41</v>
      </c>
      <c r="I3" s="35">
        <v>49</v>
      </c>
      <c r="J3" s="3"/>
      <c r="K3" s="3"/>
      <c r="L3" s="3"/>
      <c r="N3" s="3" t="s">
        <v>163</v>
      </c>
      <c r="O3" s="3"/>
      <c r="P3" s="3"/>
      <c r="Q3" s="61" t="s">
        <v>196</v>
      </c>
      <c r="R3" s="62">
        <v>44702</v>
      </c>
    </row>
    <row r="4" spans="1:18" ht="15.6" x14ac:dyDescent="0.3">
      <c r="A4" s="3"/>
      <c r="B4" s="5" t="s">
        <v>3</v>
      </c>
      <c r="C4" s="37">
        <v>300155</v>
      </c>
      <c r="D4" s="7"/>
      <c r="E4" s="3"/>
      <c r="F4" s="5" t="s">
        <v>4</v>
      </c>
      <c r="G4" s="56">
        <f>J16+'6-25-22'!G4</f>
        <v>3074</v>
      </c>
      <c r="H4" s="34" t="s">
        <v>42</v>
      </c>
      <c r="I4" s="16">
        <v>42</v>
      </c>
      <c r="J4" s="58"/>
      <c r="K4" s="3"/>
      <c r="L4" s="3"/>
      <c r="M4" s="3"/>
      <c r="N4" s="3"/>
      <c r="O4" s="3"/>
      <c r="P4" s="3" t="s">
        <v>52</v>
      </c>
      <c r="Q4" s="61" t="s">
        <v>196</v>
      </c>
      <c r="R4" s="62">
        <v>44732</v>
      </c>
    </row>
    <row r="5" spans="1:18" ht="15.6" x14ac:dyDescent="0.3">
      <c r="A5" s="3"/>
      <c r="B5" s="5" t="s">
        <v>5</v>
      </c>
      <c r="C5" s="38">
        <v>44738</v>
      </c>
      <c r="D5" s="3"/>
      <c r="E5" s="3"/>
      <c r="F5" s="3"/>
      <c r="G5" s="59">
        <f>G4/G3</f>
        <v>0.70585533869115957</v>
      </c>
      <c r="H5" s="3"/>
      <c r="I5" s="60">
        <f>I4/I3</f>
        <v>0.8571428571428571</v>
      </c>
      <c r="J5" s="3"/>
      <c r="K5" s="3"/>
      <c r="L5" s="3"/>
      <c r="M5" s="3"/>
      <c r="N5" s="3"/>
      <c r="O5" s="3"/>
      <c r="P5" s="3"/>
      <c r="Q5" s="61"/>
      <c r="R5" s="61"/>
    </row>
    <row r="6" spans="1:18" ht="15.6" x14ac:dyDescent="0.3">
      <c r="A6" s="3"/>
      <c r="B6" s="5"/>
      <c r="C6" s="3"/>
      <c r="D6" s="3"/>
      <c r="E6" s="3"/>
      <c r="F6" s="3"/>
      <c r="G6" s="3"/>
      <c r="H6" s="3"/>
      <c r="I6" s="4"/>
      <c r="J6" s="3"/>
      <c r="K6" s="30"/>
      <c r="L6" s="3"/>
      <c r="M6" s="3"/>
      <c r="N6" s="3"/>
      <c r="O6" s="3"/>
      <c r="P6" s="3"/>
      <c r="Q6" s="61"/>
      <c r="R6" s="61"/>
    </row>
    <row r="7" spans="1:18" ht="15.6" x14ac:dyDescent="0.3">
      <c r="A7" s="10" t="s">
        <v>6</v>
      </c>
      <c r="B7" s="11"/>
      <c r="C7" s="12" t="s">
        <v>7</v>
      </c>
      <c r="D7" s="3"/>
      <c r="E7" s="12" t="s">
        <v>8</v>
      </c>
      <c r="F7" s="12" t="s">
        <v>34</v>
      </c>
      <c r="G7" s="3"/>
      <c r="H7" s="67" t="s">
        <v>7</v>
      </c>
      <c r="I7" s="67"/>
      <c r="J7" s="12" t="s">
        <v>8</v>
      </c>
      <c r="K7" s="3"/>
      <c r="L7" s="3"/>
      <c r="M7" s="3"/>
      <c r="N7" s="3"/>
      <c r="O7" s="3"/>
      <c r="P7" s="3"/>
      <c r="Q7" s="61"/>
      <c r="R7" s="61"/>
    </row>
    <row r="8" spans="1:18" ht="15.6" x14ac:dyDescent="0.3">
      <c r="A8" s="13">
        <v>1</v>
      </c>
      <c r="B8" s="5" t="s">
        <v>9</v>
      </c>
      <c r="C8" s="14" t="s">
        <v>35</v>
      </c>
      <c r="D8" s="15"/>
      <c r="E8" s="35">
        <v>8</v>
      </c>
      <c r="F8" s="16">
        <v>66</v>
      </c>
      <c r="G8" s="11">
        <v>9</v>
      </c>
      <c r="H8" s="14" t="s">
        <v>40</v>
      </c>
      <c r="I8" s="8"/>
      <c r="J8" s="35">
        <v>8</v>
      </c>
      <c r="K8" s="3"/>
      <c r="L8" s="3"/>
      <c r="M8" s="3"/>
      <c r="N8" s="3"/>
      <c r="O8" s="3"/>
      <c r="P8" s="3"/>
      <c r="Q8" s="61"/>
      <c r="R8" s="61"/>
    </row>
    <row r="9" spans="1:18" ht="15.6" x14ac:dyDescent="0.3">
      <c r="A9" s="13">
        <v>2</v>
      </c>
      <c r="B9" s="5" t="s">
        <v>10</v>
      </c>
      <c r="C9" s="14" t="s">
        <v>37</v>
      </c>
      <c r="D9" s="8"/>
      <c r="E9" s="35">
        <v>8</v>
      </c>
      <c r="F9" s="16"/>
      <c r="G9" s="11">
        <v>10</v>
      </c>
      <c r="H9" s="14"/>
      <c r="I9" s="8"/>
      <c r="J9" s="39"/>
      <c r="K9" s="3"/>
      <c r="L9" s="3"/>
      <c r="M9" s="3"/>
      <c r="N9" s="3"/>
      <c r="O9" s="3"/>
      <c r="P9" s="3"/>
      <c r="Q9" s="61"/>
      <c r="R9" s="61"/>
    </row>
    <row r="10" spans="1:18" ht="15.6" x14ac:dyDescent="0.3">
      <c r="A10" s="13">
        <v>3</v>
      </c>
      <c r="B10" s="5" t="s">
        <v>11</v>
      </c>
      <c r="C10" s="14" t="s">
        <v>36</v>
      </c>
      <c r="D10" s="8"/>
      <c r="E10" s="35">
        <v>8</v>
      </c>
      <c r="F10" s="16">
        <v>78</v>
      </c>
      <c r="G10" s="11">
        <v>11</v>
      </c>
      <c r="H10" s="3"/>
      <c r="I10" s="8"/>
      <c r="J10" s="39"/>
      <c r="K10" s="3"/>
      <c r="L10" s="3"/>
      <c r="M10" s="3"/>
      <c r="N10" s="3"/>
      <c r="O10" s="3"/>
      <c r="P10" s="3"/>
      <c r="Q10" s="61"/>
      <c r="R10" s="61"/>
    </row>
    <row r="11" spans="1:18" ht="15.6" x14ac:dyDescent="0.3">
      <c r="A11" s="13">
        <v>4</v>
      </c>
      <c r="B11" s="5" t="s">
        <v>12</v>
      </c>
      <c r="C11" s="14" t="s">
        <v>29</v>
      </c>
      <c r="D11" s="8"/>
      <c r="E11" s="35">
        <v>8</v>
      </c>
      <c r="F11" s="16"/>
      <c r="G11" s="11">
        <v>12</v>
      </c>
      <c r="H11" s="3"/>
      <c r="I11" s="8"/>
      <c r="J11" s="39"/>
      <c r="K11" s="3"/>
      <c r="L11" s="3"/>
      <c r="M11" s="3"/>
      <c r="N11" s="3"/>
      <c r="O11" s="3"/>
      <c r="P11" s="3"/>
      <c r="Q11" s="61"/>
      <c r="R11" s="61"/>
    </row>
    <row r="12" spans="1:18" ht="15.6" x14ac:dyDescent="0.3">
      <c r="A12" s="13">
        <v>5</v>
      </c>
      <c r="B12" s="3"/>
      <c r="C12" s="31" t="s">
        <v>30</v>
      </c>
      <c r="D12" s="8"/>
      <c r="E12" s="35">
        <v>8</v>
      </c>
      <c r="F12" s="16"/>
      <c r="G12" s="11">
        <v>13</v>
      </c>
      <c r="H12" s="3"/>
      <c r="I12" s="8"/>
      <c r="J12" s="39"/>
      <c r="K12" s="3"/>
      <c r="L12" s="3"/>
      <c r="M12" s="3"/>
      <c r="N12" s="3"/>
      <c r="O12" s="3"/>
      <c r="P12" s="3"/>
    </row>
    <row r="13" spans="1:18" ht="15.6" x14ac:dyDescent="0.3">
      <c r="A13" s="13">
        <v>6</v>
      </c>
      <c r="B13" s="3"/>
      <c r="C13" s="14" t="s">
        <v>31</v>
      </c>
      <c r="D13" s="8"/>
      <c r="E13" s="35">
        <v>8</v>
      </c>
      <c r="F13" s="16">
        <v>74</v>
      </c>
      <c r="G13" s="11">
        <v>14</v>
      </c>
      <c r="H13" s="18"/>
      <c r="I13" s="8"/>
      <c r="J13" s="39"/>
      <c r="K13" s="3"/>
      <c r="L13" s="3"/>
      <c r="M13" s="3"/>
      <c r="N13" s="3"/>
      <c r="O13" s="3"/>
      <c r="P13" s="3"/>
    </row>
    <row r="14" spans="1:18" ht="15.6" x14ac:dyDescent="0.3">
      <c r="A14" s="13">
        <v>7</v>
      </c>
      <c r="B14" s="5" t="s">
        <v>52</v>
      </c>
      <c r="C14" s="14" t="s">
        <v>39</v>
      </c>
      <c r="D14" s="8"/>
      <c r="E14" s="35">
        <v>8</v>
      </c>
      <c r="F14" s="16"/>
      <c r="G14" s="11">
        <v>15</v>
      </c>
      <c r="H14" s="3"/>
      <c r="I14" s="8"/>
      <c r="J14" s="39"/>
      <c r="K14" s="3"/>
      <c r="L14" s="3"/>
      <c r="M14" s="3"/>
      <c r="N14" s="3"/>
      <c r="O14" s="3"/>
      <c r="P14" s="3"/>
    </row>
    <row r="15" spans="1:18" ht="15.6" x14ac:dyDescent="0.3">
      <c r="A15" s="13">
        <v>8</v>
      </c>
      <c r="B15" s="3"/>
      <c r="C15" s="14" t="s">
        <v>38</v>
      </c>
      <c r="D15" s="8"/>
      <c r="E15" s="35">
        <v>8</v>
      </c>
      <c r="F15" s="16"/>
      <c r="G15" s="11">
        <v>16</v>
      </c>
      <c r="H15" s="3"/>
      <c r="I15" s="8"/>
      <c r="J15" s="39"/>
      <c r="K15" s="3"/>
      <c r="L15" s="3"/>
      <c r="M15" s="3"/>
      <c r="N15" s="3"/>
      <c r="O15" s="3"/>
      <c r="P15" s="3"/>
    </row>
    <row r="16" spans="1:18" ht="15.6" x14ac:dyDescent="0.3">
      <c r="A16" s="3"/>
      <c r="B16" s="3"/>
      <c r="C16" s="3"/>
      <c r="D16" s="3"/>
      <c r="E16" s="3"/>
      <c r="F16" s="3"/>
      <c r="G16" s="13"/>
      <c r="H16" s="7" t="s">
        <v>13</v>
      </c>
      <c r="I16" s="3"/>
      <c r="J16" s="8">
        <f>SUM(E8:E15)+SUM(J8:J15)</f>
        <v>72</v>
      </c>
      <c r="K16" s="3"/>
      <c r="L16" s="3"/>
      <c r="M16" s="3"/>
      <c r="N16" s="3"/>
      <c r="O16" s="3"/>
      <c r="P16" s="3"/>
    </row>
    <row r="17" spans="1:16" ht="15.6" x14ac:dyDescent="0.3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  <c r="L17" s="3"/>
      <c r="M17" s="3"/>
      <c r="N17" s="3"/>
      <c r="O17" s="3"/>
      <c r="P17" s="3"/>
    </row>
    <row r="18" spans="1:16" ht="93.6" x14ac:dyDescent="0.3">
      <c r="A18" s="19"/>
      <c r="B18" s="20" t="s">
        <v>14</v>
      </c>
      <c r="C18" s="21" t="s">
        <v>15</v>
      </c>
      <c r="D18" s="22" t="s">
        <v>16</v>
      </c>
      <c r="E18" s="22" t="s">
        <v>17</v>
      </c>
      <c r="F18" s="22" t="s">
        <v>18</v>
      </c>
      <c r="G18" s="22" t="s">
        <v>19</v>
      </c>
      <c r="H18" s="22" t="s">
        <v>18</v>
      </c>
      <c r="I18" s="22" t="s">
        <v>19</v>
      </c>
      <c r="J18" s="22" t="s">
        <v>20</v>
      </c>
      <c r="K18" s="23" t="s">
        <v>21</v>
      </c>
      <c r="L18" s="24"/>
      <c r="M18" s="23" t="s">
        <v>22</v>
      </c>
      <c r="N18" s="23" t="s">
        <v>23</v>
      </c>
      <c r="O18" s="23" t="s">
        <v>24</v>
      </c>
      <c r="P18" s="23" t="s">
        <v>25</v>
      </c>
    </row>
    <row r="19" spans="1:16" ht="15.6" x14ac:dyDescent="0.3">
      <c r="A19" s="19"/>
      <c r="B19" s="19"/>
      <c r="C19" s="24"/>
      <c r="D19" s="24"/>
      <c r="E19" s="24"/>
      <c r="F19" s="24"/>
      <c r="G19" s="24"/>
      <c r="H19" s="24"/>
      <c r="I19" s="24"/>
      <c r="J19" s="24"/>
      <c r="K19" s="25"/>
      <c r="L19" s="24"/>
      <c r="M19" s="3"/>
      <c r="N19" s="3"/>
      <c r="O19" s="3"/>
      <c r="P19" s="3"/>
    </row>
    <row r="20" spans="1:16" ht="15.6" x14ac:dyDescent="0.3">
      <c r="A20" s="3"/>
      <c r="B20" s="8" t="s">
        <v>26</v>
      </c>
      <c r="C20" s="8">
        <v>1</v>
      </c>
      <c r="D20" s="8">
        <v>1</v>
      </c>
      <c r="E20" s="8"/>
      <c r="F20" s="8"/>
      <c r="G20" s="35">
        <v>0</v>
      </c>
      <c r="H20" s="8"/>
      <c r="I20" s="16"/>
      <c r="J20" s="35">
        <f>F20*G20+H20*I20</f>
        <v>0</v>
      </c>
      <c r="K20" s="16" t="e">
        <f>E20/(J20)</f>
        <v>#DIV/0!</v>
      </c>
      <c r="L20" s="3"/>
      <c r="M20" s="26">
        <v>0</v>
      </c>
      <c r="N20" s="27">
        <f>M20/C20</f>
        <v>0</v>
      </c>
      <c r="O20" s="35">
        <f>J20+'6-25-22'!O20</f>
        <v>108</v>
      </c>
      <c r="P20" s="26">
        <f>M20/O20</f>
        <v>0</v>
      </c>
    </row>
    <row r="21" spans="1:16" ht="15.6" x14ac:dyDescent="0.3">
      <c r="A21" s="3"/>
      <c r="B21" s="3"/>
      <c r="C21" s="3"/>
      <c r="D21" s="3"/>
      <c r="E21" s="3"/>
      <c r="F21" s="3"/>
      <c r="G21" s="40"/>
      <c r="H21" s="3"/>
      <c r="I21" s="28"/>
      <c r="J21" s="40"/>
      <c r="K21" s="28"/>
      <c r="L21" s="3"/>
      <c r="M21" s="29"/>
      <c r="N21" s="3"/>
      <c r="O21" s="3"/>
      <c r="P21" s="3"/>
    </row>
    <row r="22" spans="1:16" ht="15.6" x14ac:dyDescent="0.3">
      <c r="A22" s="3"/>
      <c r="B22" s="8" t="s">
        <v>53</v>
      </c>
      <c r="C22" s="8">
        <v>125400</v>
      </c>
      <c r="D22" s="41"/>
      <c r="E22" s="41"/>
      <c r="F22" s="8"/>
      <c r="G22" s="35"/>
      <c r="H22" s="8"/>
      <c r="I22" s="16"/>
      <c r="J22" s="35">
        <f>F22*G22+H22*I22</f>
        <v>0</v>
      </c>
      <c r="K22" s="16" t="e">
        <f>E22/(J22)</f>
        <v>#DIV/0!</v>
      </c>
      <c r="L22" s="3"/>
      <c r="M22" s="26">
        <f>E22+'6-25-22'!M22</f>
        <v>125400</v>
      </c>
      <c r="N22" s="27">
        <f>M22/C22</f>
        <v>1</v>
      </c>
      <c r="O22" s="35">
        <f>J22+'6-25-22'!O22</f>
        <v>679.75</v>
      </c>
      <c r="P22" s="26">
        <f>M22/O22</f>
        <v>184.47958808385437</v>
      </c>
    </row>
    <row r="23" spans="1:16" ht="15.6" x14ac:dyDescent="0.3">
      <c r="A23" s="3"/>
      <c r="B23" s="3"/>
      <c r="C23" s="3"/>
      <c r="D23" s="3"/>
      <c r="E23" s="3"/>
      <c r="F23" s="3"/>
      <c r="G23" s="40"/>
      <c r="H23" s="3"/>
      <c r="I23" s="28"/>
      <c r="J23" s="40"/>
      <c r="K23" s="28"/>
      <c r="L23" s="3"/>
      <c r="M23" s="29"/>
      <c r="N23" s="3"/>
      <c r="O23" s="36"/>
      <c r="P23" s="29"/>
    </row>
    <row r="24" spans="1:16" ht="15.6" x14ac:dyDescent="0.3">
      <c r="A24" s="3"/>
      <c r="B24" s="8" t="s">
        <v>54</v>
      </c>
      <c r="C24" s="8">
        <v>125400</v>
      </c>
      <c r="D24" s="8"/>
      <c r="E24" s="8"/>
      <c r="F24" s="8"/>
      <c r="G24" s="35"/>
      <c r="H24" s="8"/>
      <c r="I24" s="16"/>
      <c r="J24" s="35">
        <f>F24*G24+H24*I24</f>
        <v>0</v>
      </c>
      <c r="K24" s="16" t="e">
        <f>E24/(J24)</f>
        <v>#DIV/0!</v>
      </c>
      <c r="L24" s="3"/>
      <c r="M24" s="26">
        <f>E24+'6-25-22'!M24</f>
        <v>125400</v>
      </c>
      <c r="N24" s="27">
        <f>M24/C24</f>
        <v>1</v>
      </c>
      <c r="O24" s="35">
        <f>J24+'6-25-22'!O24</f>
        <v>449.75</v>
      </c>
      <c r="P24" s="26">
        <f>M24/O24</f>
        <v>278.82156753752082</v>
      </c>
    </row>
    <row r="25" spans="1:16" ht="15.6" x14ac:dyDescent="0.3">
      <c r="A25" s="3"/>
      <c r="B25" s="3"/>
      <c r="C25" s="3"/>
      <c r="D25" s="3"/>
      <c r="E25" s="3"/>
      <c r="F25" s="3"/>
      <c r="G25" s="36"/>
      <c r="H25" s="3"/>
      <c r="I25" s="4"/>
      <c r="J25" s="36"/>
      <c r="K25" s="4"/>
      <c r="L25" s="3"/>
      <c r="M25" s="29"/>
      <c r="N25" s="3"/>
      <c r="O25" s="3"/>
      <c r="P25" s="3"/>
    </row>
    <row r="26" spans="1:16" ht="15.6" x14ac:dyDescent="0.3">
      <c r="A26" s="3"/>
      <c r="B26" s="8" t="s">
        <v>44</v>
      </c>
      <c r="C26" s="8">
        <v>3040</v>
      </c>
      <c r="D26" s="8"/>
      <c r="E26" s="8"/>
      <c r="F26" s="8"/>
      <c r="G26" s="35"/>
      <c r="H26" s="8"/>
      <c r="I26" s="16"/>
      <c r="J26" s="35">
        <f>F26*G26+H26*I26</f>
        <v>0</v>
      </c>
      <c r="K26" s="16" t="e">
        <f>E26/(J26)</f>
        <v>#DIV/0!</v>
      </c>
      <c r="L26" s="3"/>
      <c r="M26" s="26">
        <f>E26+'6-25-22'!M26</f>
        <v>1516</v>
      </c>
      <c r="N26" s="27">
        <f>M26/C26</f>
        <v>0.49868421052631579</v>
      </c>
      <c r="O26" s="35">
        <f>J26+'6-25-22'!O26</f>
        <v>121.25</v>
      </c>
      <c r="P26" s="26">
        <f>M26/O26</f>
        <v>12.503092783505155</v>
      </c>
    </row>
    <row r="27" spans="1:16" ht="15.6" x14ac:dyDescent="0.3">
      <c r="A27" s="3"/>
      <c r="B27" s="3"/>
      <c r="C27" s="3"/>
      <c r="D27" s="3"/>
      <c r="E27" s="3"/>
      <c r="F27" s="3"/>
      <c r="G27" s="36"/>
      <c r="H27" s="3"/>
      <c r="I27" s="4"/>
      <c r="J27" s="36"/>
      <c r="K27" s="4"/>
      <c r="L27" s="3"/>
      <c r="M27" s="29"/>
      <c r="N27" s="3"/>
      <c r="O27" s="3"/>
      <c r="P27" s="3"/>
    </row>
    <row r="28" spans="1:16" ht="15.6" x14ac:dyDescent="0.3">
      <c r="A28" s="3"/>
      <c r="B28" s="8" t="s">
        <v>45</v>
      </c>
      <c r="C28" s="8">
        <v>3040</v>
      </c>
      <c r="D28" s="8"/>
      <c r="E28" s="8">
        <v>303</v>
      </c>
      <c r="F28" s="8">
        <v>9</v>
      </c>
      <c r="G28" s="35">
        <v>8</v>
      </c>
      <c r="H28" s="8"/>
      <c r="I28" s="35"/>
      <c r="J28" s="35">
        <f>F28*G28+H28*I28</f>
        <v>72</v>
      </c>
      <c r="K28" s="16">
        <f>E28/(J28)</f>
        <v>4.208333333333333</v>
      </c>
      <c r="L28" s="3"/>
      <c r="M28" s="26">
        <f>E28+'6-25-22'!M28</f>
        <v>1304</v>
      </c>
      <c r="N28" s="27">
        <f>M28/C28</f>
        <v>0.42894736842105263</v>
      </c>
      <c r="O28" s="35">
        <f>J28+'6-25-22'!O28</f>
        <v>409.75</v>
      </c>
      <c r="P28" s="26">
        <f>M28/O28</f>
        <v>3.1824283099450885</v>
      </c>
    </row>
    <row r="29" spans="1:16" ht="15.6" x14ac:dyDescent="0.3">
      <c r="A29" s="3"/>
      <c r="B29" s="3"/>
      <c r="C29" s="3"/>
      <c r="D29" s="3"/>
      <c r="E29" s="3"/>
      <c r="F29" s="3"/>
      <c r="G29" s="36"/>
      <c r="H29" s="3"/>
      <c r="I29" s="4"/>
      <c r="J29" s="36"/>
      <c r="K29" s="4"/>
      <c r="L29" s="3"/>
      <c r="M29" s="29"/>
      <c r="N29" s="3"/>
      <c r="O29" s="3"/>
      <c r="P29" s="3"/>
    </row>
    <row r="30" spans="1:16" ht="15.6" x14ac:dyDescent="0.3">
      <c r="A30" s="3"/>
      <c r="B30" s="8" t="s">
        <v>47</v>
      </c>
      <c r="C30" s="8">
        <v>125400</v>
      </c>
      <c r="D30" s="8"/>
      <c r="E30" s="8"/>
      <c r="F30" s="8"/>
      <c r="G30" s="35"/>
      <c r="H30" s="8"/>
      <c r="I30" s="35"/>
      <c r="J30" s="35">
        <f>F30*G30+H30*I30</f>
        <v>0</v>
      </c>
      <c r="K30" s="16" t="e">
        <f>E30/(J30)</f>
        <v>#DIV/0!</v>
      </c>
      <c r="L30" s="3"/>
      <c r="M30" s="26">
        <f>E30+'6-25-22'!M30</f>
        <v>123400</v>
      </c>
      <c r="N30" s="27">
        <f>M30/C30</f>
        <v>0.98405103668261562</v>
      </c>
      <c r="O30" s="35">
        <f>J30+'6-25-22'!O30</f>
        <v>645.5</v>
      </c>
      <c r="P30" s="26">
        <f>M30/O30</f>
        <v>191.16963594113091</v>
      </c>
    </row>
    <row r="31" spans="1:16" ht="15.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7"/>
      <c r="O31" s="3"/>
      <c r="P31" s="3"/>
    </row>
    <row r="32" spans="1:16" ht="15.6" x14ac:dyDescent="0.3">
      <c r="A32" s="3"/>
      <c r="B32" s="8" t="s">
        <v>46</v>
      </c>
      <c r="C32" s="8">
        <v>303</v>
      </c>
      <c r="D32" s="8"/>
      <c r="E32" s="8"/>
      <c r="F32" s="8"/>
      <c r="G32" s="35"/>
      <c r="H32" s="8"/>
      <c r="I32" s="16"/>
      <c r="J32" s="35">
        <f>F32*G32+H32*I32</f>
        <v>0</v>
      </c>
      <c r="K32" s="16" t="e">
        <f>E32/(J32)</f>
        <v>#DIV/0!</v>
      </c>
      <c r="L32" s="3"/>
      <c r="M32" s="26">
        <f>E32+'6-25-22'!M32</f>
        <v>303</v>
      </c>
      <c r="N32" s="27">
        <f>M32/C32</f>
        <v>1</v>
      </c>
      <c r="O32" s="35">
        <f>J32+'6-25-22'!O32</f>
        <v>166.5</v>
      </c>
      <c r="P32" s="26">
        <f>M32/O32</f>
        <v>1.8198198198198199</v>
      </c>
    </row>
    <row r="33" spans="1:16" ht="15.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7"/>
      <c r="O33" s="3"/>
      <c r="P33" s="3"/>
    </row>
    <row r="34" spans="1:16" ht="15.6" x14ac:dyDescent="0.3">
      <c r="A34" s="3"/>
      <c r="B34" s="8" t="s">
        <v>48</v>
      </c>
      <c r="C34" s="8">
        <v>115000</v>
      </c>
      <c r="D34" s="8"/>
      <c r="E34" s="8"/>
      <c r="F34" s="8"/>
      <c r="G34" s="35"/>
      <c r="H34" s="8"/>
      <c r="I34" s="16"/>
      <c r="J34" s="35">
        <f>F34*G34+H34*I34</f>
        <v>0</v>
      </c>
      <c r="K34" s="16" t="e">
        <f>E34/(J34)</f>
        <v>#DIV/0!</v>
      </c>
      <c r="L34" s="3"/>
      <c r="M34" s="26">
        <f>E34+'6-25-22'!M34</f>
        <v>0</v>
      </c>
      <c r="N34" s="27">
        <f>M34/C34</f>
        <v>0</v>
      </c>
      <c r="O34" s="35">
        <f>J34+'6-25-22'!O34</f>
        <v>0</v>
      </c>
      <c r="P34" s="26" t="e">
        <f>M34/O34</f>
        <v>#DIV/0!</v>
      </c>
    </row>
    <row r="35" spans="1:16" ht="15.6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27"/>
      <c r="O35" s="3"/>
      <c r="P35" s="3"/>
    </row>
    <row r="36" spans="1:16" ht="15.6" x14ac:dyDescent="0.3">
      <c r="A36" s="3"/>
      <c r="B36" s="8" t="s">
        <v>49</v>
      </c>
      <c r="C36" s="8">
        <v>8</v>
      </c>
      <c r="D36" s="8"/>
      <c r="E36" s="8"/>
      <c r="F36" s="8"/>
      <c r="G36" s="35"/>
      <c r="H36" s="8"/>
      <c r="I36" s="16"/>
      <c r="J36" s="35">
        <f>F36*G36+H36*I36</f>
        <v>0</v>
      </c>
      <c r="K36" s="16" t="e">
        <f>E36/(J36)</f>
        <v>#DIV/0!</v>
      </c>
      <c r="L36" s="3"/>
      <c r="M36" s="26">
        <f>E36+'6-25-22'!M36</f>
        <v>8</v>
      </c>
      <c r="N36" s="27">
        <f>M36/C36</f>
        <v>1</v>
      </c>
      <c r="O36" s="35">
        <f>J36+'6-25-22'!O36</f>
        <v>69</v>
      </c>
      <c r="P36" s="26">
        <f>M36/O36</f>
        <v>0.11594202898550725</v>
      </c>
    </row>
    <row r="37" spans="1:16" ht="15.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27"/>
      <c r="O37" s="3"/>
      <c r="P37" s="3"/>
    </row>
    <row r="38" spans="1:16" ht="15.6" x14ac:dyDescent="0.3">
      <c r="A38" s="3"/>
      <c r="B38" s="8" t="s">
        <v>50</v>
      </c>
      <c r="C38" s="8">
        <f>2760+480</f>
        <v>3240</v>
      </c>
      <c r="D38" s="8"/>
      <c r="E38" s="8"/>
      <c r="F38" s="8"/>
      <c r="G38" s="35"/>
      <c r="H38" s="8"/>
      <c r="I38" s="16"/>
      <c r="J38" s="35">
        <f>F38*G38+H38*I38</f>
        <v>0</v>
      </c>
      <c r="K38" s="16" t="e">
        <f>E38/(J38)</f>
        <v>#DIV/0!</v>
      </c>
      <c r="L38" s="3"/>
      <c r="M38" s="26">
        <f>E38+'6-25-22'!M38</f>
        <v>1635</v>
      </c>
      <c r="N38" s="27">
        <f>M38/C38</f>
        <v>0.50462962962962965</v>
      </c>
      <c r="O38" s="35">
        <f>J38+'6-25-22'!O38</f>
        <v>72</v>
      </c>
      <c r="P38" s="26">
        <f>M38/O38</f>
        <v>22.708333333333332</v>
      </c>
    </row>
    <row r="39" spans="1:16" ht="15.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7"/>
      <c r="O39" s="3"/>
      <c r="P39" s="3"/>
    </row>
    <row r="40" spans="1:16" ht="15.6" x14ac:dyDescent="0.3">
      <c r="A40" s="3"/>
      <c r="B40" s="8" t="s">
        <v>115</v>
      </c>
      <c r="C40" s="8">
        <v>123</v>
      </c>
      <c r="D40" s="8"/>
      <c r="E40" s="8"/>
      <c r="F40" s="8"/>
      <c r="G40" s="35"/>
      <c r="H40" s="8"/>
      <c r="I40" s="16"/>
      <c r="J40" s="35">
        <f>F40*G40+H40*I40</f>
        <v>0</v>
      </c>
      <c r="K40" s="16" t="e">
        <f>E40/(J40)</f>
        <v>#DIV/0!</v>
      </c>
      <c r="L40" s="3"/>
      <c r="M40" s="26">
        <f>E40+'6-25-22'!M40</f>
        <v>0</v>
      </c>
      <c r="N40" s="27">
        <f>M40/C40</f>
        <v>0</v>
      </c>
      <c r="O40" s="35">
        <f>J40+'6-25-22'!O40</f>
        <v>0</v>
      </c>
      <c r="P40" s="35" t="e">
        <f>M40/O40</f>
        <v>#DIV/0!</v>
      </c>
    </row>
    <row r="41" spans="1:16" ht="15.6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27"/>
      <c r="O41" s="3"/>
      <c r="P41" s="3"/>
    </row>
    <row r="42" spans="1:16" ht="15.6" x14ac:dyDescent="0.3">
      <c r="A42" s="3"/>
      <c r="B42" s="8" t="s">
        <v>113</v>
      </c>
      <c r="C42" s="8" t="s">
        <v>52</v>
      </c>
      <c r="D42" s="8"/>
      <c r="E42" s="8"/>
      <c r="F42" s="8"/>
      <c r="G42" s="35"/>
      <c r="H42" s="8"/>
      <c r="I42" s="16"/>
      <c r="J42" s="35">
        <f>F42*G42+H42*I42</f>
        <v>0</v>
      </c>
      <c r="K42" s="16" t="e">
        <f>E42/(J42)</f>
        <v>#DIV/0!</v>
      </c>
      <c r="L42" s="3"/>
      <c r="M42" s="26">
        <f>E42+'6-25-22'!M42</f>
        <v>0</v>
      </c>
      <c r="N42" s="53" t="e">
        <f>M42/C42</f>
        <v>#VALUE!</v>
      </c>
      <c r="O42" s="35">
        <f>J42+'6-25-22'!O42</f>
        <v>0</v>
      </c>
      <c r="P42" s="35" t="e">
        <f>M42/O42</f>
        <v>#DIV/0!</v>
      </c>
    </row>
    <row r="43" spans="1:16" ht="15.6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27"/>
      <c r="O43" s="3"/>
      <c r="P43" s="3"/>
    </row>
    <row r="44" spans="1:16" ht="15.6" x14ac:dyDescent="0.3">
      <c r="A44" s="3"/>
      <c r="B44" s="8" t="s">
        <v>114</v>
      </c>
      <c r="C44" s="8" t="s">
        <v>52</v>
      </c>
      <c r="D44" s="8"/>
      <c r="E44" s="8"/>
      <c r="F44" s="8"/>
      <c r="G44" s="35"/>
      <c r="H44" s="8"/>
      <c r="I44" s="16"/>
      <c r="J44" s="35">
        <f>F44*G44+H44*I44</f>
        <v>0</v>
      </c>
      <c r="K44" s="16" t="e">
        <f>E44/(J44)</f>
        <v>#DIV/0!</v>
      </c>
      <c r="L44" s="3"/>
      <c r="M44" s="26" t="e">
        <f>E44+'6-25-22'!M44</f>
        <v>#VALUE!</v>
      </c>
      <c r="N44" s="53" t="e">
        <f>M44/C44</f>
        <v>#VALUE!</v>
      </c>
      <c r="O44" s="35">
        <f>J44+'6-25-22'!O44</f>
        <v>99</v>
      </c>
      <c r="P44" s="26" t="e">
        <f>M44/O44</f>
        <v>#VALUE!</v>
      </c>
    </row>
    <row r="45" spans="1:16" ht="15.6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27"/>
      <c r="O45" s="3"/>
      <c r="P45" s="3"/>
    </row>
    <row r="46" spans="1:16" ht="15.6" x14ac:dyDescent="0.3">
      <c r="A46" s="3"/>
      <c r="B46" s="8" t="s">
        <v>75</v>
      </c>
      <c r="C46" s="8"/>
      <c r="D46" s="8"/>
      <c r="E46" s="8"/>
      <c r="F46" s="8"/>
      <c r="G46" s="35"/>
      <c r="H46" s="8"/>
      <c r="I46" s="16"/>
      <c r="J46" s="35">
        <f>F46*G46+H46*I46</f>
        <v>0</v>
      </c>
      <c r="K46" s="16" t="e">
        <f>E46/(J46)</f>
        <v>#DIV/0!</v>
      </c>
      <c r="L46" s="3"/>
      <c r="M46" s="26">
        <f>E46+'6-25-22'!M46</f>
        <v>0</v>
      </c>
      <c r="N46" s="53" t="e">
        <f>M46/C46</f>
        <v>#DIV/0!</v>
      </c>
      <c r="O46" s="35">
        <f>J46+'6-25-22'!O46</f>
        <v>253.5</v>
      </c>
      <c r="P46" s="26">
        <f>M46/O46</f>
        <v>0</v>
      </c>
    </row>
    <row r="47" spans="1:16" ht="15.6" x14ac:dyDescent="0.3">
      <c r="A47" s="3"/>
      <c r="B47" s="3" t="s">
        <v>27</v>
      </c>
      <c r="C47" s="3"/>
      <c r="D47" s="3" t="s">
        <v>52</v>
      </c>
      <c r="E47" s="3"/>
      <c r="F47" s="3"/>
      <c r="G47" s="3"/>
      <c r="H47" s="30"/>
      <c r="I47" s="4"/>
      <c r="J47" s="3">
        <f>J20+J22+J24+J26+J28+J30+J32+J34+J36+J38+J40+J42+J44+J46</f>
        <v>72</v>
      </c>
      <c r="K47" s="3"/>
      <c r="L47" s="3"/>
      <c r="M47" s="3"/>
      <c r="N47" s="3"/>
      <c r="O47" s="3">
        <f>O20+O22+O24+O26+O28+O30+O32+O34+O36+O38+O40+O42+O44+O46</f>
        <v>3074</v>
      </c>
      <c r="P47" s="3"/>
    </row>
    <row r="48" spans="1:16" ht="15.6" x14ac:dyDescent="0.3">
      <c r="A48" s="3"/>
      <c r="B48" s="3"/>
      <c r="C48" s="3"/>
      <c r="D48" s="3"/>
      <c r="E48" s="3"/>
      <c r="F48" s="3"/>
      <c r="G48" s="3"/>
      <c r="H48" s="3"/>
      <c r="I48" s="4"/>
      <c r="J48" s="3"/>
      <c r="K48" s="3"/>
      <c r="L48" s="3"/>
      <c r="M48" s="3"/>
      <c r="N48" s="3"/>
      <c r="O48" s="3"/>
      <c r="P48" s="3"/>
    </row>
    <row r="49" spans="1:16" ht="15.6" x14ac:dyDescent="0.3">
      <c r="A49" s="3"/>
      <c r="B49" s="3" t="s">
        <v>28</v>
      </c>
      <c r="C49" s="3" t="s">
        <v>210</v>
      </c>
      <c r="D49" s="3" t="s">
        <v>214</v>
      </c>
      <c r="E49" s="3"/>
      <c r="F49" s="3"/>
      <c r="G49" s="3"/>
      <c r="H49" s="3"/>
      <c r="I49" s="4"/>
      <c r="J49" s="3"/>
      <c r="K49" s="3"/>
      <c r="L49" s="3"/>
      <c r="M49" s="3"/>
      <c r="N49" s="3"/>
      <c r="O49" s="3"/>
      <c r="P49" s="3"/>
    </row>
    <row r="50" spans="1:16" ht="15.6" x14ac:dyDescent="0.3">
      <c r="C50" s="33"/>
    </row>
    <row r="51" spans="1:16" ht="15.6" x14ac:dyDescent="0.3">
      <c r="B51" s="3" t="s">
        <v>32</v>
      </c>
      <c r="C51" s="33" t="s">
        <v>211</v>
      </c>
    </row>
    <row r="52" spans="1:16" ht="15.6" x14ac:dyDescent="0.3">
      <c r="C52" s="33"/>
    </row>
    <row r="53" spans="1:16" ht="15.6" x14ac:dyDescent="0.3">
      <c r="B53" s="3" t="s">
        <v>33</v>
      </c>
      <c r="C53" s="3" t="s">
        <v>212</v>
      </c>
    </row>
    <row r="54" spans="1:16" ht="15.6" x14ac:dyDescent="0.3">
      <c r="C54" s="33" t="s">
        <v>213</v>
      </c>
    </row>
    <row r="55" spans="1:16" ht="15.6" x14ac:dyDescent="0.3">
      <c r="C55" s="33" t="s">
        <v>52</v>
      </c>
    </row>
    <row r="57" spans="1:16" x14ac:dyDescent="0.3">
      <c r="C57" t="s">
        <v>52</v>
      </c>
      <c r="D57" t="s">
        <v>52</v>
      </c>
    </row>
    <row r="58" spans="1:16" x14ac:dyDescent="0.3">
      <c r="C58" t="s">
        <v>52</v>
      </c>
      <c r="D58" t="s">
        <v>52</v>
      </c>
    </row>
  </sheetData>
  <mergeCells count="2">
    <mergeCell ref="A1:G1"/>
    <mergeCell ref="H7:I7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6C0A0-2D8A-4D13-BF38-15208E406A38}">
  <dimension ref="A1:R58"/>
  <sheetViews>
    <sheetView zoomScale="85" zoomScaleNormal="85" workbookViewId="0">
      <selection activeCell="I5" sqref="I5"/>
    </sheetView>
  </sheetViews>
  <sheetFormatPr defaultRowHeight="14.4" x14ac:dyDescent="0.3"/>
  <cols>
    <col min="1" max="1" width="11.33203125" customWidth="1"/>
    <col min="2" max="2" width="29.33203125" customWidth="1"/>
    <col min="3" max="3" width="22.109375" customWidth="1"/>
    <col min="4" max="4" width="14.88671875" customWidth="1"/>
    <col min="5" max="5" width="16.6640625" customWidth="1"/>
    <col min="6" max="6" width="17.44140625" customWidth="1"/>
    <col min="8" max="8" width="20.44140625" customWidth="1"/>
    <col min="13" max="13" width="10.6640625" customWidth="1"/>
    <col min="14" max="14" width="10" bestFit="1" customWidth="1"/>
    <col min="15" max="15" width="10.6640625" customWidth="1"/>
    <col min="18" max="18" width="9.6640625" bestFit="1" customWidth="1"/>
  </cols>
  <sheetData>
    <row r="1" spans="1:18" ht="18" x14ac:dyDescent="0.35">
      <c r="A1" s="66" t="s">
        <v>0</v>
      </c>
      <c r="B1" s="66"/>
      <c r="C1" s="66"/>
      <c r="D1" s="66"/>
      <c r="E1" s="66"/>
      <c r="F1" s="66"/>
      <c r="G1" s="66"/>
      <c r="H1" s="1"/>
      <c r="I1" s="2"/>
      <c r="J1" s="1"/>
      <c r="K1" s="1"/>
      <c r="L1" s="1"/>
      <c r="M1" s="1"/>
      <c r="N1" s="1"/>
      <c r="O1" s="1"/>
      <c r="P1" s="1"/>
    </row>
    <row r="2" spans="1:18" ht="15.6" x14ac:dyDescent="0.3">
      <c r="A2" s="3"/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</row>
    <row r="3" spans="1:18" ht="15.6" x14ac:dyDescent="0.3">
      <c r="A3" s="3"/>
      <c r="B3" s="5" t="s">
        <v>1</v>
      </c>
      <c r="C3" s="6" t="s">
        <v>43</v>
      </c>
      <c r="D3" s="7"/>
      <c r="E3" s="3"/>
      <c r="F3" s="5" t="s">
        <v>2</v>
      </c>
      <c r="G3" s="8">
        <v>4355</v>
      </c>
      <c r="H3" s="34" t="s">
        <v>41</v>
      </c>
      <c r="I3" s="35">
        <v>49</v>
      </c>
      <c r="J3" s="3"/>
      <c r="K3" s="3"/>
      <c r="L3" s="3"/>
      <c r="N3" s="3" t="s">
        <v>163</v>
      </c>
      <c r="O3" s="3"/>
      <c r="P3" s="3"/>
      <c r="Q3" s="61" t="s">
        <v>196</v>
      </c>
      <c r="R3" s="62">
        <v>44702</v>
      </c>
    </row>
    <row r="4" spans="1:18" ht="15.6" x14ac:dyDescent="0.3">
      <c r="A4" s="3"/>
      <c r="B4" s="5" t="s">
        <v>3</v>
      </c>
      <c r="C4" s="37">
        <v>300155</v>
      </c>
      <c r="D4" s="7"/>
      <c r="E4" s="3"/>
      <c r="F4" s="5" t="s">
        <v>4</v>
      </c>
      <c r="G4" s="56">
        <f>J16+'6-24-22'!G4</f>
        <v>3002</v>
      </c>
      <c r="H4" s="34" t="s">
        <v>42</v>
      </c>
      <c r="I4" s="16">
        <v>41</v>
      </c>
      <c r="J4" s="58"/>
      <c r="K4" s="3"/>
      <c r="L4" s="3"/>
      <c r="M4" s="3"/>
      <c r="N4" s="3"/>
      <c r="O4" s="3"/>
      <c r="P4" s="3" t="s">
        <v>52</v>
      </c>
      <c r="Q4" s="61" t="s">
        <v>196</v>
      </c>
      <c r="R4" s="62">
        <v>44732</v>
      </c>
    </row>
    <row r="5" spans="1:18" ht="15.6" x14ac:dyDescent="0.3">
      <c r="A5" s="3"/>
      <c r="B5" s="5" t="s">
        <v>5</v>
      </c>
      <c r="C5" s="38">
        <v>44737</v>
      </c>
      <c r="D5" s="3"/>
      <c r="E5" s="3"/>
      <c r="F5" s="3"/>
      <c r="G5" s="59">
        <f>G4/G3</f>
        <v>0.68932261768082659</v>
      </c>
      <c r="H5" s="3"/>
      <c r="I5" s="60">
        <f>I4/I3</f>
        <v>0.83673469387755106</v>
      </c>
      <c r="J5" s="3"/>
      <c r="K5" s="3"/>
      <c r="L5" s="3"/>
      <c r="M5" s="3"/>
      <c r="N5" s="3"/>
      <c r="O5" s="3"/>
      <c r="P5" s="3"/>
      <c r="Q5" s="61"/>
      <c r="R5" s="61"/>
    </row>
    <row r="6" spans="1:18" ht="15.6" x14ac:dyDescent="0.3">
      <c r="A6" s="3"/>
      <c r="B6" s="5"/>
      <c r="C6" s="3"/>
      <c r="D6" s="3"/>
      <c r="E6" s="3"/>
      <c r="F6" s="3"/>
      <c r="G6" s="3"/>
      <c r="H6" s="3"/>
      <c r="I6" s="4"/>
      <c r="J6" s="3"/>
      <c r="K6" s="30"/>
      <c r="L6" s="3"/>
      <c r="M6" s="3"/>
      <c r="N6" s="3"/>
      <c r="O6" s="3"/>
      <c r="P6" s="3"/>
      <c r="Q6" s="61"/>
      <c r="R6" s="61"/>
    </row>
    <row r="7" spans="1:18" ht="15.6" x14ac:dyDescent="0.3">
      <c r="A7" s="10" t="s">
        <v>6</v>
      </c>
      <c r="B7" s="11"/>
      <c r="C7" s="12" t="s">
        <v>7</v>
      </c>
      <c r="D7" s="3"/>
      <c r="E7" s="12" t="s">
        <v>8</v>
      </c>
      <c r="F7" s="12" t="s">
        <v>34</v>
      </c>
      <c r="G7" s="3"/>
      <c r="H7" s="67" t="s">
        <v>7</v>
      </c>
      <c r="I7" s="67"/>
      <c r="J7" s="12" t="s">
        <v>8</v>
      </c>
      <c r="K7" s="3"/>
      <c r="L7" s="3"/>
      <c r="M7" s="3"/>
      <c r="N7" s="3"/>
      <c r="O7" s="3"/>
      <c r="P7" s="3"/>
      <c r="Q7" s="61"/>
      <c r="R7" s="61"/>
    </row>
    <row r="8" spans="1:18" ht="15.6" x14ac:dyDescent="0.3">
      <c r="A8" s="13">
        <v>1</v>
      </c>
      <c r="B8" s="5" t="s">
        <v>9</v>
      </c>
      <c r="C8" s="14" t="s">
        <v>35</v>
      </c>
      <c r="D8" s="15"/>
      <c r="E8" s="35">
        <v>8</v>
      </c>
      <c r="F8" s="16">
        <v>66</v>
      </c>
      <c r="G8" s="11">
        <v>9</v>
      </c>
      <c r="H8" s="14" t="s">
        <v>40</v>
      </c>
      <c r="I8" s="8"/>
      <c r="J8" s="35">
        <v>8</v>
      </c>
      <c r="K8" s="3"/>
      <c r="L8" s="3"/>
      <c r="M8" s="3"/>
      <c r="N8" s="3"/>
      <c r="O8" s="3"/>
      <c r="P8" s="3"/>
      <c r="Q8" s="61"/>
      <c r="R8" s="61"/>
    </row>
    <row r="9" spans="1:18" ht="15.6" x14ac:dyDescent="0.3">
      <c r="A9" s="13">
        <v>2</v>
      </c>
      <c r="B9" s="5" t="s">
        <v>10</v>
      </c>
      <c r="C9" s="14" t="s">
        <v>37</v>
      </c>
      <c r="D9" s="8"/>
      <c r="E9" s="35">
        <v>8</v>
      </c>
      <c r="F9" s="16"/>
      <c r="G9" s="11">
        <v>10</v>
      </c>
      <c r="H9" s="14"/>
      <c r="I9" s="8"/>
      <c r="J9" s="39"/>
      <c r="K9" s="3"/>
      <c r="L9" s="3"/>
      <c r="M9" s="3"/>
      <c r="N9" s="3"/>
      <c r="O9" s="3"/>
      <c r="P9" s="3"/>
      <c r="Q9" s="61"/>
      <c r="R9" s="61"/>
    </row>
    <row r="10" spans="1:18" ht="15.6" x14ac:dyDescent="0.3">
      <c r="A10" s="13">
        <v>3</v>
      </c>
      <c r="B10" s="5" t="s">
        <v>11</v>
      </c>
      <c r="C10" s="14" t="s">
        <v>36</v>
      </c>
      <c r="D10" s="8"/>
      <c r="E10" s="35">
        <v>8</v>
      </c>
      <c r="F10" s="16">
        <v>78</v>
      </c>
      <c r="G10" s="11">
        <v>11</v>
      </c>
      <c r="H10" s="3"/>
      <c r="I10" s="8"/>
      <c r="J10" s="39"/>
      <c r="K10" s="3"/>
      <c r="L10" s="3"/>
      <c r="M10" s="3"/>
      <c r="N10" s="3"/>
      <c r="O10" s="3"/>
      <c r="P10" s="3"/>
      <c r="Q10" s="61"/>
      <c r="R10" s="61"/>
    </row>
    <row r="11" spans="1:18" ht="15.6" x14ac:dyDescent="0.3">
      <c r="A11" s="13">
        <v>4</v>
      </c>
      <c r="B11" s="5" t="s">
        <v>12</v>
      </c>
      <c r="C11" s="14" t="s">
        <v>29</v>
      </c>
      <c r="D11" s="8"/>
      <c r="E11" s="35">
        <v>8</v>
      </c>
      <c r="F11" s="16"/>
      <c r="G11" s="11">
        <v>12</v>
      </c>
      <c r="H11" s="3"/>
      <c r="I11" s="8"/>
      <c r="J11" s="39"/>
      <c r="K11" s="3"/>
      <c r="L11" s="3"/>
      <c r="M11" s="3"/>
      <c r="N11" s="3"/>
      <c r="O11" s="3"/>
      <c r="P11" s="3"/>
      <c r="Q11" s="61"/>
      <c r="R11" s="61"/>
    </row>
    <row r="12" spans="1:18" ht="15.6" x14ac:dyDescent="0.3">
      <c r="A12" s="13">
        <v>5</v>
      </c>
      <c r="B12" s="3"/>
      <c r="C12" s="31" t="s">
        <v>30</v>
      </c>
      <c r="D12" s="8"/>
      <c r="E12" s="35">
        <v>8</v>
      </c>
      <c r="F12" s="16"/>
      <c r="G12" s="11">
        <v>13</v>
      </c>
      <c r="H12" s="3"/>
      <c r="I12" s="8"/>
      <c r="J12" s="39"/>
      <c r="K12" s="3"/>
      <c r="L12" s="3"/>
      <c r="M12" s="3"/>
      <c r="N12" s="3"/>
      <c r="O12" s="3"/>
      <c r="P12" s="3"/>
    </row>
    <row r="13" spans="1:18" ht="15.6" x14ac:dyDescent="0.3">
      <c r="A13" s="13">
        <v>6</v>
      </c>
      <c r="B13" s="3"/>
      <c r="C13" s="14" t="s">
        <v>31</v>
      </c>
      <c r="D13" s="8"/>
      <c r="E13" s="35">
        <v>8</v>
      </c>
      <c r="F13" s="16">
        <v>74</v>
      </c>
      <c r="G13" s="11">
        <v>14</v>
      </c>
      <c r="H13" s="18"/>
      <c r="I13" s="8"/>
      <c r="J13" s="39"/>
      <c r="K13" s="3"/>
      <c r="L13" s="3"/>
      <c r="M13" s="3"/>
      <c r="N13" s="3"/>
      <c r="O13" s="3"/>
      <c r="P13" s="3"/>
    </row>
    <row r="14" spans="1:18" ht="15.6" x14ac:dyDescent="0.3">
      <c r="A14" s="13">
        <v>7</v>
      </c>
      <c r="B14" s="5" t="s">
        <v>52</v>
      </c>
      <c r="C14" s="14" t="s">
        <v>39</v>
      </c>
      <c r="D14" s="8"/>
      <c r="E14" s="35">
        <v>8</v>
      </c>
      <c r="F14" s="16"/>
      <c r="G14" s="11">
        <v>15</v>
      </c>
      <c r="H14" s="3"/>
      <c r="I14" s="8"/>
      <c r="J14" s="39"/>
      <c r="K14" s="3"/>
      <c r="L14" s="3"/>
      <c r="M14" s="3"/>
      <c r="N14" s="3"/>
      <c r="O14" s="3"/>
      <c r="P14" s="3"/>
    </row>
    <row r="15" spans="1:18" ht="15.6" x14ac:dyDescent="0.3">
      <c r="A15" s="13">
        <v>8</v>
      </c>
      <c r="B15" s="3"/>
      <c r="C15" s="14" t="s">
        <v>38</v>
      </c>
      <c r="D15" s="8"/>
      <c r="E15" s="35">
        <v>8</v>
      </c>
      <c r="F15" s="16"/>
      <c r="G15" s="11">
        <v>16</v>
      </c>
      <c r="H15" s="3"/>
      <c r="I15" s="8"/>
      <c r="J15" s="39"/>
      <c r="K15" s="3"/>
      <c r="L15" s="3"/>
      <c r="M15" s="3"/>
      <c r="N15" s="3"/>
      <c r="O15" s="3"/>
      <c r="P15" s="3"/>
    </row>
    <row r="16" spans="1:18" ht="15.6" x14ac:dyDescent="0.3">
      <c r="A16" s="3"/>
      <c r="B16" s="3"/>
      <c r="C16" s="3"/>
      <c r="D16" s="3"/>
      <c r="E16" s="3"/>
      <c r="F16" s="3"/>
      <c r="G16" s="13"/>
      <c r="H16" s="7" t="s">
        <v>13</v>
      </c>
      <c r="I16" s="3"/>
      <c r="J16" s="8">
        <f>SUM(E8:E15)+SUM(J8:J15)</f>
        <v>72</v>
      </c>
      <c r="K16" s="3"/>
      <c r="L16" s="3"/>
      <c r="M16" s="3"/>
      <c r="N16" s="3"/>
      <c r="O16" s="3"/>
      <c r="P16" s="3"/>
    </row>
    <row r="17" spans="1:16" ht="15.6" x14ac:dyDescent="0.3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  <c r="L17" s="3"/>
      <c r="M17" s="3"/>
      <c r="N17" s="3"/>
      <c r="O17" s="3"/>
      <c r="P17" s="3"/>
    </row>
    <row r="18" spans="1:16" ht="93.6" x14ac:dyDescent="0.3">
      <c r="A18" s="19"/>
      <c r="B18" s="20" t="s">
        <v>14</v>
      </c>
      <c r="C18" s="21" t="s">
        <v>15</v>
      </c>
      <c r="D18" s="22" t="s">
        <v>16</v>
      </c>
      <c r="E18" s="22" t="s">
        <v>17</v>
      </c>
      <c r="F18" s="22" t="s">
        <v>18</v>
      </c>
      <c r="G18" s="22" t="s">
        <v>19</v>
      </c>
      <c r="H18" s="22" t="s">
        <v>18</v>
      </c>
      <c r="I18" s="22" t="s">
        <v>19</v>
      </c>
      <c r="J18" s="22" t="s">
        <v>20</v>
      </c>
      <c r="K18" s="23" t="s">
        <v>21</v>
      </c>
      <c r="L18" s="24"/>
      <c r="M18" s="23" t="s">
        <v>22</v>
      </c>
      <c r="N18" s="23" t="s">
        <v>23</v>
      </c>
      <c r="O18" s="23" t="s">
        <v>24</v>
      </c>
      <c r="P18" s="23" t="s">
        <v>25</v>
      </c>
    </row>
    <row r="19" spans="1:16" ht="15.6" x14ac:dyDescent="0.3">
      <c r="A19" s="19"/>
      <c r="B19" s="19"/>
      <c r="C19" s="24"/>
      <c r="D19" s="24"/>
      <c r="E19" s="24"/>
      <c r="F19" s="24"/>
      <c r="G19" s="24"/>
      <c r="H19" s="24"/>
      <c r="I19" s="24"/>
      <c r="J19" s="24"/>
      <c r="K19" s="25"/>
      <c r="L19" s="24"/>
      <c r="M19" s="3"/>
      <c r="N19" s="3"/>
      <c r="O19" s="3"/>
      <c r="P19" s="3"/>
    </row>
    <row r="20" spans="1:16" ht="15.6" x14ac:dyDescent="0.3">
      <c r="A20" s="3"/>
      <c r="B20" s="8" t="s">
        <v>26</v>
      </c>
      <c r="C20" s="8">
        <v>1</v>
      </c>
      <c r="D20" s="8">
        <v>1</v>
      </c>
      <c r="E20" s="8"/>
      <c r="F20" s="8"/>
      <c r="G20" s="35">
        <v>0</v>
      </c>
      <c r="H20" s="8"/>
      <c r="I20" s="16"/>
      <c r="J20" s="35">
        <f>F20*G20+H20*I20</f>
        <v>0</v>
      </c>
      <c r="K20" s="16" t="e">
        <f>E20/(J20)</f>
        <v>#DIV/0!</v>
      </c>
      <c r="L20" s="3"/>
      <c r="M20" s="26">
        <v>0</v>
      </c>
      <c r="N20" s="27">
        <f>M20/C20</f>
        <v>0</v>
      </c>
      <c r="O20" s="35">
        <f>J20+'6-24-22'!O20</f>
        <v>108</v>
      </c>
      <c r="P20" s="26">
        <f>M20/O20</f>
        <v>0</v>
      </c>
    </row>
    <row r="21" spans="1:16" ht="15.6" x14ac:dyDescent="0.3">
      <c r="A21" s="3"/>
      <c r="B21" s="3"/>
      <c r="C21" s="3"/>
      <c r="D21" s="3"/>
      <c r="E21" s="3"/>
      <c r="F21" s="3"/>
      <c r="G21" s="40"/>
      <c r="H21" s="3"/>
      <c r="I21" s="28"/>
      <c r="J21" s="40"/>
      <c r="K21" s="28"/>
      <c r="L21" s="3"/>
      <c r="M21" s="29"/>
      <c r="N21" s="3"/>
      <c r="O21" s="3"/>
      <c r="P21" s="3"/>
    </row>
    <row r="22" spans="1:16" ht="15.6" x14ac:dyDescent="0.3">
      <c r="A22" s="3"/>
      <c r="B22" s="8" t="s">
        <v>53</v>
      </c>
      <c r="C22" s="8">
        <v>125400</v>
      </c>
      <c r="D22" s="41"/>
      <c r="E22" s="41"/>
      <c r="F22" s="8"/>
      <c r="G22" s="35"/>
      <c r="H22" s="8"/>
      <c r="I22" s="16"/>
      <c r="J22" s="35">
        <f>F22*G22+H22*I22</f>
        <v>0</v>
      </c>
      <c r="K22" s="16" t="e">
        <f>E22/(J22)</f>
        <v>#DIV/0!</v>
      </c>
      <c r="L22" s="3"/>
      <c r="M22" s="26">
        <f>E22+'6-24-22'!M22</f>
        <v>125400</v>
      </c>
      <c r="N22" s="27">
        <f>M22/C22</f>
        <v>1</v>
      </c>
      <c r="O22" s="35">
        <f>J22+'6-24-22'!O22</f>
        <v>679.75</v>
      </c>
      <c r="P22" s="26">
        <f>M22/O22</f>
        <v>184.47958808385437</v>
      </c>
    </row>
    <row r="23" spans="1:16" ht="15.6" x14ac:dyDescent="0.3">
      <c r="A23" s="3"/>
      <c r="B23" s="3"/>
      <c r="C23" s="3"/>
      <c r="D23" s="3"/>
      <c r="E23" s="3"/>
      <c r="F23" s="3"/>
      <c r="G23" s="40"/>
      <c r="H23" s="3"/>
      <c r="I23" s="28"/>
      <c r="J23" s="40"/>
      <c r="K23" s="28"/>
      <c r="L23" s="3"/>
      <c r="M23" s="29"/>
      <c r="N23" s="3"/>
      <c r="O23" s="36"/>
      <c r="P23" s="29"/>
    </row>
    <row r="24" spans="1:16" ht="15.6" x14ac:dyDescent="0.3">
      <c r="A24" s="3"/>
      <c r="B24" s="8" t="s">
        <v>54</v>
      </c>
      <c r="C24" s="8">
        <v>125400</v>
      </c>
      <c r="D24" s="8"/>
      <c r="E24" s="8"/>
      <c r="F24" s="8"/>
      <c r="G24" s="35"/>
      <c r="H24" s="8"/>
      <c r="I24" s="16"/>
      <c r="J24" s="35">
        <f>F24*G24+H24*I24</f>
        <v>0</v>
      </c>
      <c r="K24" s="16" t="e">
        <f>E24/(J24)</f>
        <v>#DIV/0!</v>
      </c>
      <c r="L24" s="3"/>
      <c r="M24" s="26">
        <f>E24+'6-24-22'!M24</f>
        <v>125400</v>
      </c>
      <c r="N24" s="27">
        <f>M24/C24</f>
        <v>1</v>
      </c>
      <c r="O24" s="35">
        <f>J24+'6-24-22'!O24</f>
        <v>449.75</v>
      </c>
      <c r="P24" s="26">
        <f>M24/O24</f>
        <v>278.82156753752082</v>
      </c>
    </row>
    <row r="25" spans="1:16" ht="15.6" x14ac:dyDescent="0.3">
      <c r="A25" s="3"/>
      <c r="B25" s="3"/>
      <c r="C25" s="3"/>
      <c r="D25" s="3"/>
      <c r="E25" s="3"/>
      <c r="F25" s="3"/>
      <c r="G25" s="36"/>
      <c r="H25" s="3"/>
      <c r="I25" s="4"/>
      <c r="J25" s="36"/>
      <c r="K25" s="4"/>
      <c r="L25" s="3"/>
      <c r="M25" s="29"/>
      <c r="N25" s="3"/>
      <c r="O25" s="3"/>
      <c r="P25" s="3"/>
    </row>
    <row r="26" spans="1:16" ht="15.6" x14ac:dyDescent="0.3">
      <c r="A26" s="3"/>
      <c r="B26" s="8" t="s">
        <v>44</v>
      </c>
      <c r="C26" s="8">
        <v>3040</v>
      </c>
      <c r="D26" s="8"/>
      <c r="E26" s="8"/>
      <c r="F26" s="8"/>
      <c r="G26" s="35"/>
      <c r="H26" s="8"/>
      <c r="I26" s="16"/>
      <c r="J26" s="35">
        <f>F26*G26+H26*I26</f>
        <v>0</v>
      </c>
      <c r="K26" s="16" t="e">
        <f>E26/(J26)</f>
        <v>#DIV/0!</v>
      </c>
      <c r="L26" s="3"/>
      <c r="M26" s="26">
        <f>E26+'6-24-22'!M26</f>
        <v>1516</v>
      </c>
      <c r="N26" s="27">
        <f>M26/C26</f>
        <v>0.49868421052631579</v>
      </c>
      <c r="O26" s="35">
        <f>J26+'6-24-22'!O26</f>
        <v>121.25</v>
      </c>
      <c r="P26" s="26">
        <f>M26/O26</f>
        <v>12.503092783505155</v>
      </c>
    </row>
    <row r="27" spans="1:16" ht="15.6" x14ac:dyDescent="0.3">
      <c r="A27" s="3"/>
      <c r="B27" s="3"/>
      <c r="C27" s="3"/>
      <c r="D27" s="3"/>
      <c r="E27" s="3"/>
      <c r="F27" s="3"/>
      <c r="G27" s="36"/>
      <c r="H27" s="3"/>
      <c r="I27" s="4"/>
      <c r="J27" s="36"/>
      <c r="K27" s="4"/>
      <c r="L27" s="3"/>
      <c r="M27" s="29"/>
      <c r="N27" s="3"/>
      <c r="O27" s="3"/>
      <c r="P27" s="3"/>
    </row>
    <row r="28" spans="1:16" ht="15.6" x14ac:dyDescent="0.3">
      <c r="A28" s="3"/>
      <c r="B28" s="8" t="s">
        <v>45</v>
      </c>
      <c r="C28" s="8">
        <v>3040</v>
      </c>
      <c r="D28" s="8"/>
      <c r="E28" s="8">
        <v>148</v>
      </c>
      <c r="F28" s="8">
        <v>9</v>
      </c>
      <c r="G28" s="35">
        <v>3</v>
      </c>
      <c r="H28" s="8"/>
      <c r="I28" s="35"/>
      <c r="J28" s="35">
        <f>F28*G28+H28*I28</f>
        <v>27</v>
      </c>
      <c r="K28" s="16">
        <f>E28/(J28)</f>
        <v>5.4814814814814818</v>
      </c>
      <c r="L28" s="3"/>
      <c r="M28" s="26">
        <f>E28+'6-24-22'!M28</f>
        <v>1001</v>
      </c>
      <c r="N28" s="27">
        <f>M28/C28</f>
        <v>0.32927631578947369</v>
      </c>
      <c r="O28" s="35">
        <f>J28+'6-24-22'!O28</f>
        <v>337.75</v>
      </c>
      <c r="P28" s="26">
        <f>M28/O28</f>
        <v>2.9637305699481864</v>
      </c>
    </row>
    <row r="29" spans="1:16" ht="15.6" x14ac:dyDescent="0.3">
      <c r="A29" s="3"/>
      <c r="B29" s="3"/>
      <c r="C29" s="3"/>
      <c r="D29" s="3"/>
      <c r="E29" s="3"/>
      <c r="F29" s="3"/>
      <c r="G29" s="36"/>
      <c r="H29" s="3"/>
      <c r="I29" s="4"/>
      <c r="J29" s="36"/>
      <c r="K29" s="4"/>
      <c r="L29" s="3"/>
      <c r="M29" s="29"/>
      <c r="N29" s="3"/>
      <c r="O29" s="3"/>
      <c r="P29" s="3"/>
    </row>
    <row r="30" spans="1:16" ht="15.6" x14ac:dyDescent="0.3">
      <c r="A30" s="3"/>
      <c r="B30" s="8" t="s">
        <v>47</v>
      </c>
      <c r="C30" s="8">
        <v>125400</v>
      </c>
      <c r="D30" s="8"/>
      <c r="E30" s="8"/>
      <c r="F30" s="8"/>
      <c r="G30" s="35"/>
      <c r="H30" s="8"/>
      <c r="I30" s="35"/>
      <c r="J30" s="35">
        <f>F30*G30+H30*I30</f>
        <v>0</v>
      </c>
      <c r="K30" s="16" t="e">
        <f>E30/(J30)</f>
        <v>#DIV/0!</v>
      </c>
      <c r="L30" s="3"/>
      <c r="M30" s="26">
        <f>E30+'6-24-22'!M30</f>
        <v>123400</v>
      </c>
      <c r="N30" s="27">
        <f>M30/C30</f>
        <v>0.98405103668261562</v>
      </c>
      <c r="O30" s="35">
        <f>J30+'6-24-22'!O30</f>
        <v>645.5</v>
      </c>
      <c r="P30" s="26">
        <f>M30/O30</f>
        <v>191.16963594113091</v>
      </c>
    </row>
    <row r="31" spans="1:16" ht="15.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7"/>
      <c r="O31" s="3"/>
      <c r="P31" s="3"/>
    </row>
    <row r="32" spans="1:16" ht="15.6" x14ac:dyDescent="0.3">
      <c r="A32" s="3"/>
      <c r="B32" s="8" t="s">
        <v>46</v>
      </c>
      <c r="C32" s="8">
        <v>303</v>
      </c>
      <c r="D32" s="8"/>
      <c r="E32" s="8"/>
      <c r="F32" s="8"/>
      <c r="G32" s="35"/>
      <c r="H32" s="8"/>
      <c r="I32" s="16"/>
      <c r="J32" s="35">
        <f>F32*G32+H32*I32</f>
        <v>0</v>
      </c>
      <c r="K32" s="16" t="e">
        <f>E32/(J32)</f>
        <v>#DIV/0!</v>
      </c>
      <c r="L32" s="3"/>
      <c r="M32" s="26">
        <f>E32+'6-24-22'!M32</f>
        <v>303</v>
      </c>
      <c r="N32" s="27">
        <f>M32/C32</f>
        <v>1</v>
      </c>
      <c r="O32" s="35">
        <f>J32+'6-24-22'!O32</f>
        <v>166.5</v>
      </c>
      <c r="P32" s="26">
        <f>M32/O32</f>
        <v>1.8198198198198199</v>
      </c>
    </row>
    <row r="33" spans="1:16" ht="15.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7"/>
      <c r="O33" s="3"/>
      <c r="P33" s="3"/>
    </row>
    <row r="34" spans="1:16" ht="15.6" x14ac:dyDescent="0.3">
      <c r="A34" s="3"/>
      <c r="B34" s="8" t="s">
        <v>48</v>
      </c>
      <c r="C34" s="8">
        <v>115000</v>
      </c>
      <c r="D34" s="8"/>
      <c r="E34" s="8"/>
      <c r="F34" s="8"/>
      <c r="G34" s="35"/>
      <c r="H34" s="8"/>
      <c r="I34" s="16"/>
      <c r="J34" s="35">
        <f>F34*G34+H34*I34</f>
        <v>0</v>
      </c>
      <c r="K34" s="16" t="e">
        <f>E34/(J34)</f>
        <v>#DIV/0!</v>
      </c>
      <c r="L34" s="3"/>
      <c r="M34" s="26">
        <f>E34+'6-24-22'!M34</f>
        <v>0</v>
      </c>
      <c r="N34" s="27">
        <f>M34/C34</f>
        <v>0</v>
      </c>
      <c r="O34" s="35">
        <f>J34+'6-24-22'!O34</f>
        <v>0</v>
      </c>
      <c r="P34" s="26" t="e">
        <f>M34/O34</f>
        <v>#DIV/0!</v>
      </c>
    </row>
    <row r="35" spans="1:16" ht="15.6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27"/>
      <c r="O35" s="3"/>
      <c r="P35" s="3"/>
    </row>
    <row r="36" spans="1:16" ht="15.6" x14ac:dyDescent="0.3">
      <c r="A36" s="3"/>
      <c r="B36" s="8" t="s">
        <v>49</v>
      </c>
      <c r="C36" s="8">
        <v>8</v>
      </c>
      <c r="D36" s="8" t="s">
        <v>203</v>
      </c>
      <c r="E36" s="8">
        <v>8</v>
      </c>
      <c r="F36" s="8">
        <v>9</v>
      </c>
      <c r="G36" s="35">
        <v>5</v>
      </c>
      <c r="H36" s="8"/>
      <c r="I36" s="16"/>
      <c r="J36" s="35">
        <f>F36*G36+H36*I36</f>
        <v>45</v>
      </c>
      <c r="K36" s="16">
        <f>E36/(J36)</f>
        <v>0.17777777777777778</v>
      </c>
      <c r="L36" s="3"/>
      <c r="M36" s="26">
        <f>E36+'6-24-22'!M36</f>
        <v>8</v>
      </c>
      <c r="N36" s="27">
        <f>M36/C36</f>
        <v>1</v>
      </c>
      <c r="O36" s="35">
        <f>J36+'6-24-22'!O36</f>
        <v>69</v>
      </c>
      <c r="P36" s="26">
        <f>M36/O36</f>
        <v>0.11594202898550725</v>
      </c>
    </row>
    <row r="37" spans="1:16" ht="15.6" x14ac:dyDescent="0.3">
      <c r="A37" s="3"/>
      <c r="B37" s="3"/>
      <c r="C37" s="3"/>
      <c r="D37" s="3" t="s">
        <v>204</v>
      </c>
      <c r="E37" s="3"/>
      <c r="F37" s="3"/>
      <c r="G37" s="3"/>
      <c r="H37" s="3"/>
      <c r="I37" s="3"/>
      <c r="J37" s="3"/>
      <c r="K37" s="3"/>
      <c r="L37" s="3"/>
      <c r="M37" s="3"/>
      <c r="N37" s="27"/>
      <c r="O37" s="3"/>
      <c r="P37" s="3"/>
    </row>
    <row r="38" spans="1:16" ht="15.6" x14ac:dyDescent="0.3">
      <c r="A38" s="3"/>
      <c r="B38" s="8" t="s">
        <v>50</v>
      </c>
      <c r="C38" s="8">
        <f>2760+480</f>
        <v>3240</v>
      </c>
      <c r="D38" s="8"/>
      <c r="E38" s="8"/>
      <c r="F38" s="8"/>
      <c r="G38" s="35"/>
      <c r="H38" s="8"/>
      <c r="I38" s="16"/>
      <c r="J38" s="35">
        <f>F38*G38+H38*I38</f>
        <v>0</v>
      </c>
      <c r="K38" s="16" t="e">
        <f>E38/(J38)</f>
        <v>#DIV/0!</v>
      </c>
      <c r="L38" s="3"/>
      <c r="M38" s="26">
        <f>E38+'6-24-22'!M38</f>
        <v>1635</v>
      </c>
      <c r="N38" s="27">
        <f>M38/C38</f>
        <v>0.50462962962962965</v>
      </c>
      <c r="O38" s="35">
        <f>J38+'6-24-22'!O38</f>
        <v>72</v>
      </c>
      <c r="P38" s="26">
        <f>M38/O38</f>
        <v>22.708333333333332</v>
      </c>
    </row>
    <row r="39" spans="1:16" ht="15.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7"/>
      <c r="O39" s="3"/>
      <c r="P39" s="3"/>
    </row>
    <row r="40" spans="1:16" ht="15.6" x14ac:dyDescent="0.3">
      <c r="A40" s="3"/>
      <c r="B40" s="8" t="s">
        <v>115</v>
      </c>
      <c r="C40" s="8">
        <v>123</v>
      </c>
      <c r="D40" s="8"/>
      <c r="E40" s="8"/>
      <c r="F40" s="8"/>
      <c r="G40" s="35"/>
      <c r="H40" s="8"/>
      <c r="I40" s="16"/>
      <c r="J40" s="35">
        <f>F40*G40+H40*I40</f>
        <v>0</v>
      </c>
      <c r="K40" s="16" t="e">
        <f>E40/(J40)</f>
        <v>#DIV/0!</v>
      </c>
      <c r="L40" s="3"/>
      <c r="M40" s="26">
        <f>E40+'6-24-22'!M40</f>
        <v>0</v>
      </c>
      <c r="N40" s="27">
        <f>M40/C40</f>
        <v>0</v>
      </c>
      <c r="O40" s="35">
        <f>J40+'6-24-22'!O40</f>
        <v>0</v>
      </c>
      <c r="P40" s="35" t="e">
        <f>M40/O40</f>
        <v>#DIV/0!</v>
      </c>
    </row>
    <row r="41" spans="1:16" ht="15.6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27"/>
      <c r="O41" s="3"/>
      <c r="P41" s="3"/>
    </row>
    <row r="42" spans="1:16" ht="15.6" x14ac:dyDescent="0.3">
      <c r="A42" s="3"/>
      <c r="B42" s="8" t="s">
        <v>113</v>
      </c>
      <c r="C42" s="8" t="s">
        <v>52</v>
      </c>
      <c r="D42" s="8"/>
      <c r="E42" s="8"/>
      <c r="F42" s="8"/>
      <c r="G42" s="35"/>
      <c r="H42" s="8"/>
      <c r="I42" s="16"/>
      <c r="J42" s="35">
        <f>F42*G42+H42*I42</f>
        <v>0</v>
      </c>
      <c r="K42" s="16" t="e">
        <f>E42/(J42)</f>
        <v>#DIV/0!</v>
      </c>
      <c r="L42" s="3"/>
      <c r="M42" s="26">
        <f>E42+'6-24-22'!M42</f>
        <v>0</v>
      </c>
      <c r="N42" s="53" t="e">
        <f>M42/C42</f>
        <v>#VALUE!</v>
      </c>
      <c r="O42" s="35">
        <f>J42+'6-24-22'!O42</f>
        <v>0</v>
      </c>
      <c r="P42" s="35" t="e">
        <f>M42/O42</f>
        <v>#DIV/0!</v>
      </c>
    </row>
    <row r="43" spans="1:16" ht="15.6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27"/>
      <c r="O43" s="3"/>
      <c r="P43" s="3"/>
    </row>
    <row r="44" spans="1:16" ht="15.6" x14ac:dyDescent="0.3">
      <c r="A44" s="3"/>
      <c r="B44" s="8" t="s">
        <v>114</v>
      </c>
      <c r="C44" s="8" t="s">
        <v>52</v>
      </c>
      <c r="D44" s="8"/>
      <c r="E44" s="8"/>
      <c r="F44" s="8"/>
      <c r="G44" s="35"/>
      <c r="H44" s="8"/>
      <c r="I44" s="16"/>
      <c r="J44" s="35">
        <f>F44*G44+H44*I44</f>
        <v>0</v>
      </c>
      <c r="K44" s="16" t="e">
        <f>E44/(J44)</f>
        <v>#DIV/0!</v>
      </c>
      <c r="L44" s="3"/>
      <c r="M44" s="26" t="e">
        <f>E44+'6-24-22'!M44</f>
        <v>#VALUE!</v>
      </c>
      <c r="N44" s="53" t="e">
        <f>M44/C44</f>
        <v>#VALUE!</v>
      </c>
      <c r="O44" s="35">
        <f>J44+'6-24-22'!O44</f>
        <v>99</v>
      </c>
      <c r="P44" s="26" t="e">
        <f>M44/O44</f>
        <v>#VALUE!</v>
      </c>
    </row>
    <row r="45" spans="1:16" ht="15.6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27"/>
      <c r="O45" s="3"/>
      <c r="P45" s="3"/>
    </row>
    <row r="46" spans="1:16" ht="15.6" x14ac:dyDescent="0.3">
      <c r="A46" s="3"/>
      <c r="B46" s="8" t="s">
        <v>75</v>
      </c>
      <c r="C46" s="8"/>
      <c r="D46" s="8"/>
      <c r="E46" s="8"/>
      <c r="F46" s="8"/>
      <c r="G46" s="35"/>
      <c r="H46" s="8"/>
      <c r="I46" s="16"/>
      <c r="J46" s="35">
        <f>F46*G46+H46*I46</f>
        <v>0</v>
      </c>
      <c r="K46" s="16" t="e">
        <f>E46/(J46)</f>
        <v>#DIV/0!</v>
      </c>
      <c r="L46" s="3"/>
      <c r="M46" s="26">
        <f>E46+'6-24-22'!M46</f>
        <v>0</v>
      </c>
      <c r="N46" s="53" t="e">
        <f>M46/C46</f>
        <v>#DIV/0!</v>
      </c>
      <c r="O46" s="35">
        <f>J46+'6-24-22'!O46</f>
        <v>253.5</v>
      </c>
      <c r="P46" s="26">
        <f>M46/O46</f>
        <v>0</v>
      </c>
    </row>
    <row r="47" spans="1:16" ht="15.6" x14ac:dyDescent="0.3">
      <c r="A47" s="3"/>
      <c r="B47" s="3" t="s">
        <v>27</v>
      </c>
      <c r="C47" s="3"/>
      <c r="D47" s="3" t="s">
        <v>52</v>
      </c>
      <c r="E47" s="3"/>
      <c r="F47" s="3"/>
      <c r="G47" s="3"/>
      <c r="H47" s="30"/>
      <c r="I47" s="4"/>
      <c r="J47" s="3">
        <f>J20+J22+J24+J26+J28+J30+J32+J34+J36+J38+J40+J42+J44+J46</f>
        <v>72</v>
      </c>
      <c r="K47" s="3"/>
      <c r="L47" s="3"/>
      <c r="M47" s="3"/>
      <c r="N47" s="3"/>
      <c r="O47" s="3">
        <f>O20+O22+O24+O26+O28+O30+O32+O34+O36+O38+O40+O42+O44+O46</f>
        <v>3002</v>
      </c>
      <c r="P47" s="3"/>
    </row>
    <row r="48" spans="1:16" ht="15.6" x14ac:dyDescent="0.3">
      <c r="A48" s="3"/>
      <c r="B48" s="3"/>
      <c r="C48" s="3"/>
      <c r="D48" s="3"/>
      <c r="E48" s="3"/>
      <c r="F48" s="3"/>
      <c r="G48" s="3"/>
      <c r="H48" s="3"/>
      <c r="I48" s="4"/>
      <c r="J48" s="3"/>
      <c r="K48" s="3"/>
      <c r="L48" s="3"/>
      <c r="M48" s="3"/>
      <c r="N48" s="3"/>
      <c r="O48" s="3"/>
      <c r="P48" s="3"/>
    </row>
    <row r="49" spans="1:16" ht="15.6" x14ac:dyDescent="0.3">
      <c r="A49" s="3"/>
      <c r="B49" s="3" t="s">
        <v>28</v>
      </c>
      <c r="C49" s="3" t="s">
        <v>205</v>
      </c>
      <c r="D49" s="3"/>
      <c r="E49" s="3"/>
      <c r="F49" s="3"/>
      <c r="G49" s="3"/>
      <c r="H49" s="3"/>
      <c r="I49" s="4"/>
      <c r="J49" s="3"/>
      <c r="K49" s="3"/>
      <c r="L49" s="3"/>
      <c r="M49" s="3"/>
      <c r="N49" s="3"/>
      <c r="O49" s="3"/>
      <c r="P49" s="3"/>
    </row>
    <row r="50" spans="1:16" ht="15.6" x14ac:dyDescent="0.3">
      <c r="C50" s="33" t="s">
        <v>206</v>
      </c>
    </row>
    <row r="51" spans="1:16" ht="15.6" x14ac:dyDescent="0.3">
      <c r="B51" s="3" t="s">
        <v>32</v>
      </c>
      <c r="C51" s="33" t="s">
        <v>207</v>
      </c>
    </row>
    <row r="52" spans="1:16" ht="15.6" x14ac:dyDescent="0.3">
      <c r="C52" s="33"/>
    </row>
    <row r="53" spans="1:16" ht="15.6" x14ac:dyDescent="0.3">
      <c r="B53" s="3" t="s">
        <v>33</v>
      </c>
      <c r="C53" s="3" t="s">
        <v>208</v>
      </c>
    </row>
    <row r="54" spans="1:16" ht="15.6" x14ac:dyDescent="0.3">
      <c r="C54" s="33" t="s">
        <v>209</v>
      </c>
    </row>
    <row r="55" spans="1:16" ht="15.6" x14ac:dyDescent="0.3">
      <c r="C55" s="33" t="s">
        <v>52</v>
      </c>
    </row>
    <row r="57" spans="1:16" x14ac:dyDescent="0.3">
      <c r="C57" t="s">
        <v>52</v>
      </c>
      <c r="D57" t="s">
        <v>52</v>
      </c>
    </row>
    <row r="58" spans="1:16" x14ac:dyDescent="0.3">
      <c r="C58" t="s">
        <v>52</v>
      </c>
      <c r="D58" t="s">
        <v>52</v>
      </c>
    </row>
  </sheetData>
  <mergeCells count="2">
    <mergeCell ref="A1:G1"/>
    <mergeCell ref="H7:I7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2DC1B-625E-43DD-93E0-B788E6522C90}">
  <dimension ref="A1:R58"/>
  <sheetViews>
    <sheetView zoomScale="85" zoomScaleNormal="85" workbookViewId="0">
      <selection activeCell="I5" sqref="I5"/>
    </sheetView>
  </sheetViews>
  <sheetFormatPr defaultRowHeight="14.4" x14ac:dyDescent="0.3"/>
  <cols>
    <col min="1" max="1" width="11.33203125" customWidth="1"/>
    <col min="2" max="2" width="29.33203125" customWidth="1"/>
    <col min="3" max="3" width="22.109375" customWidth="1"/>
    <col min="4" max="4" width="14.88671875" customWidth="1"/>
    <col min="5" max="5" width="16.6640625" customWidth="1"/>
    <col min="6" max="6" width="17.44140625" customWidth="1"/>
    <col min="8" max="8" width="20.44140625" customWidth="1"/>
    <col min="13" max="13" width="10.6640625" customWidth="1"/>
    <col min="14" max="14" width="10" bestFit="1" customWidth="1"/>
    <col min="15" max="15" width="10.6640625" customWidth="1"/>
    <col min="18" max="18" width="9.6640625" bestFit="1" customWidth="1"/>
  </cols>
  <sheetData>
    <row r="1" spans="1:18" ht="18" x14ac:dyDescent="0.35">
      <c r="A1" s="66" t="s">
        <v>0</v>
      </c>
      <c r="B1" s="66"/>
      <c r="C1" s="66"/>
      <c r="D1" s="66"/>
      <c r="E1" s="66"/>
      <c r="F1" s="66"/>
      <c r="G1" s="66"/>
      <c r="H1" s="1"/>
      <c r="I1" s="2"/>
      <c r="J1" s="1"/>
      <c r="K1" s="1"/>
      <c r="L1" s="1"/>
      <c r="M1" s="1"/>
      <c r="N1" s="1"/>
      <c r="O1" s="1"/>
      <c r="P1" s="1"/>
    </row>
    <row r="2" spans="1:18" ht="15.6" x14ac:dyDescent="0.3">
      <c r="A2" s="3"/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</row>
    <row r="3" spans="1:18" ht="15.6" x14ac:dyDescent="0.3">
      <c r="A3" s="3"/>
      <c r="B3" s="5" t="s">
        <v>1</v>
      </c>
      <c r="C3" s="6" t="s">
        <v>43</v>
      </c>
      <c r="D3" s="7"/>
      <c r="E3" s="3"/>
      <c r="F3" s="5" t="s">
        <v>2</v>
      </c>
      <c r="G3" s="8">
        <v>4355</v>
      </c>
      <c r="H3" s="34" t="s">
        <v>41</v>
      </c>
      <c r="I3" s="35">
        <v>49</v>
      </c>
      <c r="J3" s="3"/>
      <c r="K3" s="3"/>
      <c r="L3" s="3"/>
      <c r="N3" s="3" t="s">
        <v>163</v>
      </c>
      <c r="O3" s="3"/>
      <c r="P3" s="3"/>
      <c r="Q3" s="61" t="s">
        <v>196</v>
      </c>
      <c r="R3" s="62">
        <v>44702</v>
      </c>
    </row>
    <row r="4" spans="1:18" ht="15.6" x14ac:dyDescent="0.3">
      <c r="A4" s="3"/>
      <c r="B4" s="5" t="s">
        <v>3</v>
      </c>
      <c r="C4" s="37">
        <v>300155</v>
      </c>
      <c r="D4" s="7"/>
      <c r="E4" s="3"/>
      <c r="F4" s="5" t="s">
        <v>4</v>
      </c>
      <c r="G4" s="56">
        <f>J16+'6-23-22'!G4</f>
        <v>2930</v>
      </c>
      <c r="H4" s="34" t="s">
        <v>42</v>
      </c>
      <c r="I4" s="16">
        <v>40</v>
      </c>
      <c r="J4" s="58"/>
      <c r="K4" s="3"/>
      <c r="L4" s="3"/>
      <c r="M4" s="3"/>
      <c r="N4" s="3"/>
      <c r="O4" s="3"/>
      <c r="P4" s="3" t="s">
        <v>52</v>
      </c>
      <c r="Q4" s="61" t="s">
        <v>196</v>
      </c>
      <c r="R4" s="62">
        <v>44732</v>
      </c>
    </row>
    <row r="5" spans="1:18" ht="15.6" x14ac:dyDescent="0.3">
      <c r="A5" s="3"/>
      <c r="B5" s="5" t="s">
        <v>5</v>
      </c>
      <c r="C5" s="38">
        <v>44736</v>
      </c>
      <c r="D5" s="3"/>
      <c r="E5" s="3"/>
      <c r="F5" s="3"/>
      <c r="G5" s="59">
        <f>G4/G3</f>
        <v>0.67278989667049371</v>
      </c>
      <c r="H5" s="3"/>
      <c r="I5" s="60">
        <f>I4/I3</f>
        <v>0.81632653061224492</v>
      </c>
      <c r="J5" s="3"/>
      <c r="K5" s="3"/>
      <c r="L5" s="3"/>
      <c r="M5" s="3"/>
      <c r="N5" s="3"/>
      <c r="O5" s="3"/>
      <c r="P5" s="3"/>
      <c r="Q5" s="61"/>
      <c r="R5" s="61"/>
    </row>
    <row r="6" spans="1:18" ht="15.6" x14ac:dyDescent="0.3">
      <c r="A6" s="3"/>
      <c r="B6" s="5"/>
      <c r="C6" s="3"/>
      <c r="D6" s="3"/>
      <c r="E6" s="3"/>
      <c r="F6" s="3"/>
      <c r="G6" s="3"/>
      <c r="H6" s="3"/>
      <c r="I6" s="4"/>
      <c r="J6" s="3"/>
      <c r="K6" s="30"/>
      <c r="L6" s="3"/>
      <c r="M6" s="3"/>
      <c r="N6" s="3"/>
      <c r="O6" s="3"/>
      <c r="P6" s="3"/>
      <c r="Q6" s="61"/>
      <c r="R6" s="61"/>
    </row>
    <row r="7" spans="1:18" ht="15.6" x14ac:dyDescent="0.3">
      <c r="A7" s="10" t="s">
        <v>6</v>
      </c>
      <c r="B7" s="11"/>
      <c r="C7" s="12" t="s">
        <v>7</v>
      </c>
      <c r="D7" s="3"/>
      <c r="E7" s="12" t="s">
        <v>8</v>
      </c>
      <c r="F7" s="12" t="s">
        <v>34</v>
      </c>
      <c r="G7" s="3"/>
      <c r="H7" s="67" t="s">
        <v>7</v>
      </c>
      <c r="I7" s="67"/>
      <c r="J7" s="12" t="s">
        <v>8</v>
      </c>
      <c r="K7" s="3"/>
      <c r="L7" s="3"/>
      <c r="M7" s="3"/>
      <c r="N7" s="3"/>
      <c r="O7" s="3"/>
      <c r="P7" s="3"/>
      <c r="Q7" s="61"/>
      <c r="R7" s="61"/>
    </row>
    <row r="8" spans="1:18" ht="15.6" x14ac:dyDescent="0.3">
      <c r="A8" s="13">
        <v>1</v>
      </c>
      <c r="B8" s="5" t="s">
        <v>9</v>
      </c>
      <c r="C8" s="14" t="s">
        <v>35</v>
      </c>
      <c r="D8" s="15"/>
      <c r="E8" s="35">
        <v>9</v>
      </c>
      <c r="F8" s="16">
        <v>66</v>
      </c>
      <c r="G8" s="11">
        <v>9</v>
      </c>
      <c r="H8" s="14" t="s">
        <v>40</v>
      </c>
      <c r="I8" s="8"/>
      <c r="J8" s="35">
        <v>9</v>
      </c>
      <c r="K8" s="3"/>
      <c r="L8" s="3"/>
      <c r="M8" s="3"/>
      <c r="N8" s="3"/>
      <c r="O8" s="3"/>
      <c r="P8" s="3"/>
      <c r="Q8" s="61"/>
      <c r="R8" s="61"/>
    </row>
    <row r="9" spans="1:18" ht="15.6" x14ac:dyDescent="0.3">
      <c r="A9" s="13">
        <v>2</v>
      </c>
      <c r="B9" s="5" t="s">
        <v>10</v>
      </c>
      <c r="C9" s="14" t="s">
        <v>37</v>
      </c>
      <c r="D9" s="8"/>
      <c r="E9" s="35">
        <v>9</v>
      </c>
      <c r="F9" s="16"/>
      <c r="G9" s="11">
        <v>10</v>
      </c>
      <c r="H9" s="14"/>
      <c r="I9" s="8"/>
      <c r="J9" s="39"/>
      <c r="K9" s="3"/>
      <c r="L9" s="3"/>
      <c r="M9" s="3"/>
      <c r="N9" s="3"/>
      <c r="O9" s="3"/>
      <c r="P9" s="3"/>
      <c r="Q9" s="61"/>
      <c r="R9" s="61"/>
    </row>
    <row r="10" spans="1:18" ht="15.6" x14ac:dyDescent="0.3">
      <c r="A10" s="13">
        <v>3</v>
      </c>
      <c r="B10" s="5" t="s">
        <v>11</v>
      </c>
      <c r="C10" s="14" t="s">
        <v>36</v>
      </c>
      <c r="D10" s="8"/>
      <c r="E10" s="35">
        <v>9</v>
      </c>
      <c r="F10" s="16">
        <v>78</v>
      </c>
      <c r="G10" s="11">
        <v>11</v>
      </c>
      <c r="H10" s="3"/>
      <c r="I10" s="8"/>
      <c r="J10" s="39"/>
      <c r="K10" s="3"/>
      <c r="L10" s="3"/>
      <c r="M10" s="3"/>
      <c r="N10" s="3"/>
      <c r="O10" s="3"/>
      <c r="P10" s="3"/>
      <c r="Q10" s="61"/>
      <c r="R10" s="61"/>
    </row>
    <row r="11" spans="1:18" ht="15.6" x14ac:dyDescent="0.3">
      <c r="A11" s="13">
        <v>4</v>
      </c>
      <c r="B11" s="5" t="s">
        <v>12</v>
      </c>
      <c r="C11" s="14" t="s">
        <v>29</v>
      </c>
      <c r="D11" s="8"/>
      <c r="E11" s="35">
        <v>9</v>
      </c>
      <c r="F11" s="16"/>
      <c r="G11" s="11">
        <v>12</v>
      </c>
      <c r="H11" s="3"/>
      <c r="I11" s="8"/>
      <c r="J11" s="39"/>
      <c r="K11" s="3"/>
      <c r="L11" s="3"/>
      <c r="M11" s="3"/>
      <c r="N11" s="3"/>
      <c r="O11" s="3"/>
      <c r="P11" s="3"/>
      <c r="Q11" s="61"/>
      <c r="R11" s="61"/>
    </row>
    <row r="12" spans="1:18" ht="15.6" x14ac:dyDescent="0.3">
      <c r="A12" s="13">
        <v>5</v>
      </c>
      <c r="B12" s="3"/>
      <c r="C12" s="31" t="s">
        <v>30</v>
      </c>
      <c r="D12" s="8"/>
      <c r="E12" s="35">
        <v>9</v>
      </c>
      <c r="F12" s="16"/>
      <c r="G12" s="11">
        <v>13</v>
      </c>
      <c r="H12" s="3"/>
      <c r="I12" s="8"/>
      <c r="J12" s="39"/>
      <c r="K12" s="3"/>
      <c r="L12" s="3"/>
      <c r="M12" s="3"/>
      <c r="N12" s="3"/>
      <c r="O12" s="3"/>
      <c r="P12" s="3"/>
    </row>
    <row r="13" spans="1:18" ht="15.6" x14ac:dyDescent="0.3">
      <c r="A13" s="13">
        <v>6</v>
      </c>
      <c r="B13" s="3"/>
      <c r="C13" s="14" t="s">
        <v>31</v>
      </c>
      <c r="D13" s="8"/>
      <c r="E13" s="35">
        <v>9</v>
      </c>
      <c r="F13" s="16">
        <v>74</v>
      </c>
      <c r="G13" s="11">
        <v>14</v>
      </c>
      <c r="H13" s="18"/>
      <c r="I13" s="8"/>
      <c r="J13" s="39"/>
      <c r="K13" s="3"/>
      <c r="L13" s="3"/>
      <c r="M13" s="3"/>
      <c r="N13" s="3"/>
      <c r="O13" s="3"/>
      <c r="P13" s="3"/>
    </row>
    <row r="14" spans="1:18" ht="15.6" x14ac:dyDescent="0.3">
      <c r="A14" s="13">
        <v>7</v>
      </c>
      <c r="B14" s="5" t="s">
        <v>52</v>
      </c>
      <c r="C14" s="14" t="s">
        <v>39</v>
      </c>
      <c r="D14" s="8"/>
      <c r="E14" s="35">
        <v>9</v>
      </c>
      <c r="F14" s="16"/>
      <c r="G14" s="11">
        <v>15</v>
      </c>
      <c r="H14" s="3"/>
      <c r="I14" s="8"/>
      <c r="J14" s="39"/>
      <c r="K14" s="3"/>
      <c r="L14" s="3"/>
      <c r="M14" s="3"/>
      <c r="N14" s="3"/>
      <c r="O14" s="3"/>
      <c r="P14" s="3"/>
    </row>
    <row r="15" spans="1:18" ht="15.6" x14ac:dyDescent="0.3">
      <c r="A15" s="13">
        <v>8</v>
      </c>
      <c r="B15" s="3"/>
      <c r="C15" s="14" t="s">
        <v>38</v>
      </c>
      <c r="D15" s="8"/>
      <c r="E15" s="35">
        <v>9</v>
      </c>
      <c r="F15" s="16"/>
      <c r="G15" s="11">
        <v>16</v>
      </c>
      <c r="H15" s="3"/>
      <c r="I15" s="8"/>
      <c r="J15" s="39"/>
      <c r="K15" s="3"/>
      <c r="L15" s="3"/>
      <c r="M15" s="3"/>
      <c r="N15" s="3"/>
      <c r="O15" s="3"/>
      <c r="P15" s="3"/>
    </row>
    <row r="16" spans="1:18" ht="15.6" x14ac:dyDescent="0.3">
      <c r="A16" s="3"/>
      <c r="B16" s="3"/>
      <c r="C16" s="3"/>
      <c r="D16" s="3"/>
      <c r="E16" s="3"/>
      <c r="F16" s="3"/>
      <c r="G16" s="13"/>
      <c r="H16" s="7" t="s">
        <v>13</v>
      </c>
      <c r="I16" s="3"/>
      <c r="J16" s="8">
        <f>SUM(E8:E15)+SUM(J8:J15)</f>
        <v>81</v>
      </c>
      <c r="K16" s="3"/>
      <c r="L16" s="3"/>
      <c r="M16" s="3"/>
      <c r="N16" s="3"/>
      <c r="O16" s="3"/>
      <c r="P16" s="3"/>
    </row>
    <row r="17" spans="1:16" ht="15.6" x14ac:dyDescent="0.3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  <c r="L17" s="3"/>
      <c r="M17" s="3"/>
      <c r="N17" s="3"/>
      <c r="O17" s="3"/>
      <c r="P17" s="3"/>
    </row>
    <row r="18" spans="1:16" ht="93.6" x14ac:dyDescent="0.3">
      <c r="A18" s="19"/>
      <c r="B18" s="20" t="s">
        <v>14</v>
      </c>
      <c r="C18" s="21" t="s">
        <v>15</v>
      </c>
      <c r="D18" s="22" t="s">
        <v>16</v>
      </c>
      <c r="E18" s="22" t="s">
        <v>17</v>
      </c>
      <c r="F18" s="22" t="s">
        <v>18</v>
      </c>
      <c r="G18" s="22" t="s">
        <v>19</v>
      </c>
      <c r="H18" s="22" t="s">
        <v>18</v>
      </c>
      <c r="I18" s="22" t="s">
        <v>19</v>
      </c>
      <c r="J18" s="22" t="s">
        <v>20</v>
      </c>
      <c r="K18" s="23" t="s">
        <v>21</v>
      </c>
      <c r="L18" s="24"/>
      <c r="M18" s="23" t="s">
        <v>22</v>
      </c>
      <c r="N18" s="23" t="s">
        <v>23</v>
      </c>
      <c r="O18" s="23" t="s">
        <v>24</v>
      </c>
      <c r="P18" s="23" t="s">
        <v>25</v>
      </c>
    </row>
    <row r="19" spans="1:16" ht="15.6" x14ac:dyDescent="0.3">
      <c r="A19" s="19"/>
      <c r="B19" s="19"/>
      <c r="C19" s="24"/>
      <c r="D19" s="24"/>
      <c r="E19" s="24"/>
      <c r="F19" s="24"/>
      <c r="G19" s="24"/>
      <c r="H19" s="24"/>
      <c r="I19" s="24"/>
      <c r="J19" s="24"/>
      <c r="K19" s="25"/>
      <c r="L19" s="24"/>
      <c r="M19" s="3"/>
      <c r="N19" s="3"/>
      <c r="O19" s="3"/>
      <c r="P19" s="3"/>
    </row>
    <row r="20" spans="1:16" ht="15.6" x14ac:dyDescent="0.3">
      <c r="A20" s="3"/>
      <c r="B20" s="8" t="s">
        <v>26</v>
      </c>
      <c r="C20" s="8">
        <v>1</v>
      </c>
      <c r="D20" s="8">
        <v>1</v>
      </c>
      <c r="E20" s="8"/>
      <c r="F20" s="8"/>
      <c r="G20" s="35">
        <v>0</v>
      </c>
      <c r="H20" s="8"/>
      <c r="I20" s="16"/>
      <c r="J20" s="35">
        <f>F20*G20+H20*I20</f>
        <v>0</v>
      </c>
      <c r="K20" s="16" t="e">
        <f>E20/(J20)</f>
        <v>#DIV/0!</v>
      </c>
      <c r="L20" s="3"/>
      <c r="M20" s="26">
        <v>0</v>
      </c>
      <c r="N20" s="27">
        <f>M20/C20</f>
        <v>0</v>
      </c>
      <c r="O20" s="35">
        <f>J20+'6-23-22'!O20</f>
        <v>108</v>
      </c>
      <c r="P20" s="26">
        <f>M20/O20</f>
        <v>0</v>
      </c>
    </row>
    <row r="21" spans="1:16" ht="15.6" x14ac:dyDescent="0.3">
      <c r="A21" s="3"/>
      <c r="B21" s="3"/>
      <c r="C21" s="3"/>
      <c r="D21" s="3"/>
      <c r="E21" s="3"/>
      <c r="F21" s="3"/>
      <c r="G21" s="40"/>
      <c r="H21" s="3"/>
      <c r="I21" s="28"/>
      <c r="J21" s="40"/>
      <c r="K21" s="28"/>
      <c r="L21" s="3"/>
      <c r="M21" s="29"/>
      <c r="N21" s="3"/>
      <c r="O21" s="3"/>
      <c r="P21" s="3"/>
    </row>
    <row r="22" spans="1:16" ht="15.6" x14ac:dyDescent="0.3">
      <c r="A22" s="3"/>
      <c r="B22" s="8" t="s">
        <v>53</v>
      </c>
      <c r="C22" s="8">
        <v>125400</v>
      </c>
      <c r="D22" s="41"/>
      <c r="E22" s="41"/>
      <c r="F22" s="8"/>
      <c r="G22" s="35"/>
      <c r="H22" s="8"/>
      <c r="I22" s="16"/>
      <c r="J22" s="35">
        <f>F22*G22+H22*I22</f>
        <v>0</v>
      </c>
      <c r="K22" s="16" t="e">
        <f>E22/(J22)</f>
        <v>#DIV/0!</v>
      </c>
      <c r="L22" s="3"/>
      <c r="M22" s="26">
        <f>E22+'6-23-22'!M22</f>
        <v>125400</v>
      </c>
      <c r="N22" s="27">
        <f>M22/C22</f>
        <v>1</v>
      </c>
      <c r="O22" s="35">
        <f>J22+'6-23-22'!O22</f>
        <v>679.75</v>
      </c>
      <c r="P22" s="26">
        <f>M22/O22</f>
        <v>184.47958808385437</v>
      </c>
    </row>
    <row r="23" spans="1:16" ht="15.6" x14ac:dyDescent="0.3">
      <c r="A23" s="3"/>
      <c r="B23" s="3"/>
      <c r="C23" s="3"/>
      <c r="D23" s="3"/>
      <c r="E23" s="3"/>
      <c r="F23" s="3"/>
      <c r="G23" s="40"/>
      <c r="H23" s="3"/>
      <c r="I23" s="28"/>
      <c r="J23" s="40"/>
      <c r="K23" s="28"/>
      <c r="L23" s="3"/>
      <c r="M23" s="29"/>
      <c r="N23" s="3"/>
      <c r="O23" s="36"/>
      <c r="P23" s="29"/>
    </row>
    <row r="24" spans="1:16" ht="15.6" x14ac:dyDescent="0.3">
      <c r="A24" s="3"/>
      <c r="B24" s="8" t="s">
        <v>54</v>
      </c>
      <c r="C24" s="8">
        <v>125400</v>
      </c>
      <c r="D24" s="8"/>
      <c r="E24" s="8"/>
      <c r="F24" s="8"/>
      <c r="G24" s="35"/>
      <c r="H24" s="8"/>
      <c r="I24" s="16"/>
      <c r="J24" s="35">
        <f>F24*G24+H24*I24</f>
        <v>0</v>
      </c>
      <c r="K24" s="16" t="e">
        <f>E24/(J24)</f>
        <v>#DIV/0!</v>
      </c>
      <c r="L24" s="3"/>
      <c r="M24" s="26">
        <f>E24+'6-23-22'!M24</f>
        <v>125400</v>
      </c>
      <c r="N24" s="27">
        <f>M24/C24</f>
        <v>1</v>
      </c>
      <c r="O24" s="35">
        <f>J24+'6-23-22'!O24</f>
        <v>449.75</v>
      </c>
      <c r="P24" s="26">
        <f>M24/O24</f>
        <v>278.82156753752082</v>
      </c>
    </row>
    <row r="25" spans="1:16" ht="15.6" x14ac:dyDescent="0.3">
      <c r="A25" s="3"/>
      <c r="B25" s="3"/>
      <c r="C25" s="3"/>
      <c r="D25" s="3"/>
      <c r="E25" s="3"/>
      <c r="F25" s="3"/>
      <c r="G25" s="36"/>
      <c r="H25" s="3"/>
      <c r="I25" s="4"/>
      <c r="J25" s="36"/>
      <c r="K25" s="4"/>
      <c r="L25" s="3"/>
      <c r="M25" s="29"/>
      <c r="N25" s="3"/>
      <c r="O25" s="3"/>
      <c r="P25" s="3"/>
    </row>
    <row r="26" spans="1:16" ht="15.6" x14ac:dyDescent="0.3">
      <c r="A26" s="3"/>
      <c r="B26" s="8" t="s">
        <v>44</v>
      </c>
      <c r="C26" s="8">
        <v>3040</v>
      </c>
      <c r="D26" s="8"/>
      <c r="E26" s="8"/>
      <c r="F26" s="8"/>
      <c r="G26" s="35"/>
      <c r="H26" s="8"/>
      <c r="I26" s="16"/>
      <c r="J26" s="35">
        <f>F26*G26+H26*I26</f>
        <v>0</v>
      </c>
      <c r="K26" s="16" t="e">
        <f>E26/(J26)</f>
        <v>#DIV/0!</v>
      </c>
      <c r="L26" s="3"/>
      <c r="M26" s="26">
        <f>E26+'6-23-22'!M26</f>
        <v>1516</v>
      </c>
      <c r="N26" s="27">
        <f>M26/C26</f>
        <v>0.49868421052631579</v>
      </c>
      <c r="O26" s="35">
        <f>J26+'6-23-22'!O26</f>
        <v>121.25</v>
      </c>
      <c r="P26" s="26">
        <f>M26/O26</f>
        <v>12.503092783505155</v>
      </c>
    </row>
    <row r="27" spans="1:16" ht="15.6" x14ac:dyDescent="0.3">
      <c r="A27" s="3"/>
      <c r="B27" s="3"/>
      <c r="C27" s="3"/>
      <c r="D27" s="3"/>
      <c r="E27" s="3"/>
      <c r="F27" s="3"/>
      <c r="G27" s="36"/>
      <c r="H27" s="3"/>
      <c r="I27" s="4"/>
      <c r="J27" s="36"/>
      <c r="K27" s="4"/>
      <c r="L27" s="3"/>
      <c r="M27" s="29"/>
      <c r="N27" s="3"/>
      <c r="O27" s="3"/>
      <c r="P27" s="3"/>
    </row>
    <row r="28" spans="1:16" ht="15.6" x14ac:dyDescent="0.3">
      <c r="A28" s="3"/>
      <c r="B28" s="8" t="s">
        <v>45</v>
      </c>
      <c r="C28" s="8">
        <v>3040</v>
      </c>
      <c r="D28" s="8"/>
      <c r="E28" s="8"/>
      <c r="F28" s="8"/>
      <c r="G28" s="35"/>
      <c r="H28" s="8"/>
      <c r="I28" s="35"/>
      <c r="J28" s="35">
        <f>F28*G28+H28*I28</f>
        <v>0</v>
      </c>
      <c r="K28" s="16" t="e">
        <f>E28/(J28)</f>
        <v>#DIV/0!</v>
      </c>
      <c r="L28" s="3"/>
      <c r="M28" s="26">
        <f>E28+'6-23-22'!M28</f>
        <v>853</v>
      </c>
      <c r="N28" s="27">
        <f>M28/C28</f>
        <v>0.28059210526315792</v>
      </c>
      <c r="O28" s="35">
        <f>J28+'6-23-22'!O28</f>
        <v>310.75</v>
      </c>
      <c r="P28" s="26">
        <f>M28/O28</f>
        <v>2.7449718423169749</v>
      </c>
    </row>
    <row r="29" spans="1:16" ht="15.6" x14ac:dyDescent="0.3">
      <c r="A29" s="3"/>
      <c r="B29" s="3"/>
      <c r="C29" s="3"/>
      <c r="D29" s="3"/>
      <c r="E29" s="3"/>
      <c r="F29" s="3"/>
      <c r="G29" s="36"/>
      <c r="H29" s="3"/>
      <c r="I29" s="4"/>
      <c r="J29" s="36"/>
      <c r="K29" s="4"/>
      <c r="L29" s="3"/>
      <c r="M29" s="29"/>
      <c r="N29" s="3"/>
      <c r="O29" s="3"/>
      <c r="P29" s="3"/>
    </row>
    <row r="30" spans="1:16" ht="15.6" x14ac:dyDescent="0.3">
      <c r="A30" s="3"/>
      <c r="B30" s="8" t="s">
        <v>47</v>
      </c>
      <c r="C30" s="8">
        <v>125400</v>
      </c>
      <c r="D30" s="8"/>
      <c r="E30" s="8"/>
      <c r="F30" s="8"/>
      <c r="G30" s="35"/>
      <c r="H30" s="8"/>
      <c r="I30" s="35"/>
      <c r="J30" s="35">
        <f>F30*G30+H30*I30</f>
        <v>0</v>
      </c>
      <c r="K30" s="16" t="e">
        <f>E30/(J30)</f>
        <v>#DIV/0!</v>
      </c>
      <c r="L30" s="3"/>
      <c r="M30" s="26">
        <f>E30+'6-23-22'!M30</f>
        <v>123400</v>
      </c>
      <c r="N30" s="27">
        <f>M30/C30</f>
        <v>0.98405103668261562</v>
      </c>
      <c r="O30" s="35">
        <f>J30+'6-23-22'!O30</f>
        <v>645.5</v>
      </c>
      <c r="P30" s="26">
        <f>M30/O30</f>
        <v>191.16963594113091</v>
      </c>
    </row>
    <row r="31" spans="1:16" ht="15.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7"/>
      <c r="O31" s="3"/>
      <c r="P31" s="3"/>
    </row>
    <row r="32" spans="1:16" ht="15.6" x14ac:dyDescent="0.3">
      <c r="A32" s="3"/>
      <c r="B32" s="8" t="s">
        <v>46</v>
      </c>
      <c r="C32" s="8">
        <v>324</v>
      </c>
      <c r="D32" s="8"/>
      <c r="E32" s="8">
        <v>138</v>
      </c>
      <c r="F32" s="8">
        <v>9</v>
      </c>
      <c r="G32" s="35">
        <v>9</v>
      </c>
      <c r="H32" s="8"/>
      <c r="I32" s="16"/>
      <c r="J32" s="35">
        <f>F32*G32+H32*I32</f>
        <v>81</v>
      </c>
      <c r="K32" s="16">
        <f>E32/(J32)</f>
        <v>1.7037037037037037</v>
      </c>
      <c r="L32" s="3"/>
      <c r="M32" s="26">
        <f>E32+'6-23-22'!M32</f>
        <v>303</v>
      </c>
      <c r="N32" s="27">
        <f>M32/C32</f>
        <v>0.93518518518518523</v>
      </c>
      <c r="O32" s="35">
        <f>J32+'6-23-22'!O32</f>
        <v>166.5</v>
      </c>
      <c r="P32" s="26">
        <f>M32/O32</f>
        <v>1.8198198198198199</v>
      </c>
    </row>
    <row r="33" spans="1:16" ht="15.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7"/>
      <c r="O33" s="3"/>
      <c r="P33" s="3"/>
    </row>
    <row r="34" spans="1:16" ht="15.6" x14ac:dyDescent="0.3">
      <c r="A34" s="3"/>
      <c r="B34" s="8" t="s">
        <v>48</v>
      </c>
      <c r="C34" s="8">
        <v>115000</v>
      </c>
      <c r="D34" s="8"/>
      <c r="E34" s="8"/>
      <c r="F34" s="8"/>
      <c r="G34" s="35"/>
      <c r="H34" s="8"/>
      <c r="I34" s="16"/>
      <c r="J34" s="35">
        <f>F34*G34+H34*I34</f>
        <v>0</v>
      </c>
      <c r="K34" s="16" t="e">
        <f>E34/(J34)</f>
        <v>#DIV/0!</v>
      </c>
      <c r="L34" s="3"/>
      <c r="M34" s="26">
        <f>E34+'6-23-22'!M34</f>
        <v>0</v>
      </c>
      <c r="N34" s="27">
        <f>M34/C34</f>
        <v>0</v>
      </c>
      <c r="O34" s="35">
        <f>J34+'6-23-22'!O34</f>
        <v>0</v>
      </c>
      <c r="P34" s="26" t="e">
        <f>M34/O34</f>
        <v>#DIV/0!</v>
      </c>
    </row>
    <row r="35" spans="1:16" ht="15.6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27"/>
      <c r="O35" s="3"/>
      <c r="P35" s="3"/>
    </row>
    <row r="36" spans="1:16" ht="15.6" x14ac:dyDescent="0.3">
      <c r="A36" s="3"/>
      <c r="B36" s="8" t="s">
        <v>49</v>
      </c>
      <c r="C36" s="8">
        <v>8</v>
      </c>
      <c r="D36" s="8"/>
      <c r="E36" s="8"/>
      <c r="F36" s="8"/>
      <c r="G36" s="35"/>
      <c r="H36" s="8"/>
      <c r="I36" s="16"/>
      <c r="J36" s="35">
        <f>F36*G36+H36*I36</f>
        <v>0</v>
      </c>
      <c r="K36" s="16" t="e">
        <f>E36/(J36)</f>
        <v>#DIV/0!</v>
      </c>
      <c r="L36" s="3"/>
      <c r="M36" s="26">
        <f>E36+'6-23-22'!M36</f>
        <v>0</v>
      </c>
      <c r="N36" s="27">
        <f>M36/C36</f>
        <v>0</v>
      </c>
      <c r="O36" s="35">
        <f>J36+'6-23-22'!O36</f>
        <v>24</v>
      </c>
      <c r="P36" s="26">
        <f>M36/O36</f>
        <v>0</v>
      </c>
    </row>
    <row r="37" spans="1:16" ht="15.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27"/>
      <c r="O37" s="3"/>
      <c r="P37" s="3"/>
    </row>
    <row r="38" spans="1:16" ht="15.6" x14ac:dyDescent="0.3">
      <c r="A38" s="3"/>
      <c r="B38" s="8" t="s">
        <v>50</v>
      </c>
      <c r="C38" s="8">
        <f>2760+480</f>
        <v>3240</v>
      </c>
      <c r="D38" s="8"/>
      <c r="E38" s="8"/>
      <c r="F38" s="8"/>
      <c r="G38" s="35"/>
      <c r="H38" s="8"/>
      <c r="I38" s="16"/>
      <c r="J38" s="35">
        <f>F38*G38+H38*I38</f>
        <v>0</v>
      </c>
      <c r="K38" s="16" t="e">
        <f>E38/(J38)</f>
        <v>#DIV/0!</v>
      </c>
      <c r="L38" s="3"/>
      <c r="M38" s="26">
        <f>E38+'6-23-22'!M38</f>
        <v>1635</v>
      </c>
      <c r="N38" s="27">
        <f>M38/C38</f>
        <v>0.50462962962962965</v>
      </c>
      <c r="O38" s="35">
        <f>J38+'6-23-22'!O38</f>
        <v>72</v>
      </c>
      <c r="P38" s="26">
        <f>M38/O38</f>
        <v>22.708333333333332</v>
      </c>
    </row>
    <row r="39" spans="1:16" ht="15.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7"/>
      <c r="O39" s="3"/>
      <c r="P39" s="3"/>
    </row>
    <row r="40" spans="1:16" ht="15.6" x14ac:dyDescent="0.3">
      <c r="A40" s="3"/>
      <c r="B40" s="8" t="s">
        <v>115</v>
      </c>
      <c r="C40" s="8">
        <v>123</v>
      </c>
      <c r="D40" s="8"/>
      <c r="E40" s="8"/>
      <c r="F40" s="8"/>
      <c r="G40" s="35"/>
      <c r="H40" s="8"/>
      <c r="I40" s="16"/>
      <c r="J40" s="35">
        <f>F40*G40+H40*I40</f>
        <v>0</v>
      </c>
      <c r="K40" s="16" t="e">
        <f>E40/(J40)</f>
        <v>#DIV/0!</v>
      </c>
      <c r="L40" s="3"/>
      <c r="M40" s="26">
        <f>E40+'6-23-22'!M40</f>
        <v>0</v>
      </c>
      <c r="N40" s="27">
        <f>M40/C40</f>
        <v>0</v>
      </c>
      <c r="O40" s="35">
        <f>J40+'6-23-22'!O40</f>
        <v>0</v>
      </c>
      <c r="P40" s="35" t="e">
        <f>M40/O40</f>
        <v>#DIV/0!</v>
      </c>
    </row>
    <row r="41" spans="1:16" ht="15.6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27"/>
      <c r="O41" s="3"/>
      <c r="P41" s="3"/>
    </row>
    <row r="42" spans="1:16" ht="15.6" x14ac:dyDescent="0.3">
      <c r="A42" s="3"/>
      <c r="B42" s="8" t="s">
        <v>113</v>
      </c>
      <c r="C42" s="8" t="s">
        <v>52</v>
      </c>
      <c r="D42" s="8"/>
      <c r="E42" s="8"/>
      <c r="F42" s="8"/>
      <c r="G42" s="35"/>
      <c r="H42" s="8"/>
      <c r="I42" s="16"/>
      <c r="J42" s="35">
        <f>F42*G42+H42*I42</f>
        <v>0</v>
      </c>
      <c r="K42" s="16" t="e">
        <f>E42/(J42)</f>
        <v>#DIV/0!</v>
      </c>
      <c r="L42" s="3"/>
      <c r="M42" s="26">
        <f>E42+'6-23-22'!M42</f>
        <v>0</v>
      </c>
      <c r="N42" s="53" t="e">
        <f>M42/C42</f>
        <v>#VALUE!</v>
      </c>
      <c r="O42" s="35">
        <f>J42+'6-23-22'!O42</f>
        <v>0</v>
      </c>
      <c r="P42" s="35" t="e">
        <f>M42/O42</f>
        <v>#DIV/0!</v>
      </c>
    </row>
    <row r="43" spans="1:16" ht="15.6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27"/>
      <c r="O43" s="3"/>
      <c r="P43" s="3"/>
    </row>
    <row r="44" spans="1:16" ht="15.6" x14ac:dyDescent="0.3">
      <c r="A44" s="3"/>
      <c r="B44" s="8" t="s">
        <v>114</v>
      </c>
      <c r="C44" s="8" t="s">
        <v>52</v>
      </c>
      <c r="D44" s="8"/>
      <c r="E44" s="8"/>
      <c r="F44" s="8"/>
      <c r="G44" s="35"/>
      <c r="H44" s="8"/>
      <c r="I44" s="16"/>
      <c r="J44" s="35">
        <f>F44*G44+H44*I44</f>
        <v>0</v>
      </c>
      <c r="K44" s="16" t="e">
        <f>E44/(J44)</f>
        <v>#DIV/0!</v>
      </c>
      <c r="L44" s="3"/>
      <c r="M44" s="26" t="e">
        <f>E44+'6-23-22'!M44</f>
        <v>#VALUE!</v>
      </c>
      <c r="N44" s="53" t="e">
        <f>M44/C44</f>
        <v>#VALUE!</v>
      </c>
      <c r="O44" s="35">
        <f>J44+'6-23-22'!O44</f>
        <v>99</v>
      </c>
      <c r="P44" s="26" t="e">
        <f>M44/O44</f>
        <v>#VALUE!</v>
      </c>
    </row>
    <row r="45" spans="1:16" ht="15.6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27"/>
      <c r="O45" s="3"/>
      <c r="P45" s="3"/>
    </row>
    <row r="46" spans="1:16" ht="15.6" x14ac:dyDescent="0.3">
      <c r="A46" s="3"/>
      <c r="B46" s="8" t="s">
        <v>75</v>
      </c>
      <c r="C46" s="8"/>
      <c r="D46" s="8"/>
      <c r="E46" s="8"/>
      <c r="F46" s="8"/>
      <c r="G46" s="35"/>
      <c r="H46" s="8"/>
      <c r="I46" s="16"/>
      <c r="J46" s="35">
        <f>F46*G46+H46*I46</f>
        <v>0</v>
      </c>
      <c r="K46" s="16" t="e">
        <f>E46/(J46)</f>
        <v>#DIV/0!</v>
      </c>
      <c r="L46" s="3"/>
      <c r="M46" s="26">
        <f>E46+'6-23-22'!M46</f>
        <v>0</v>
      </c>
      <c r="N46" s="53" t="e">
        <f>M46/C46</f>
        <v>#DIV/0!</v>
      </c>
      <c r="O46" s="35">
        <f>J46+'6-23-22'!O46</f>
        <v>253.5</v>
      </c>
      <c r="P46" s="26">
        <f>M46/O46</f>
        <v>0</v>
      </c>
    </row>
    <row r="47" spans="1:16" ht="15.6" x14ac:dyDescent="0.3">
      <c r="A47" s="3"/>
      <c r="B47" s="3" t="s">
        <v>27</v>
      </c>
      <c r="C47" s="3"/>
      <c r="D47" s="3" t="s">
        <v>52</v>
      </c>
      <c r="E47" s="3"/>
      <c r="F47" s="3"/>
      <c r="G47" s="3"/>
      <c r="H47" s="30"/>
      <c r="I47" s="4"/>
      <c r="J47" s="3">
        <f>J20+J22+J24+J26+J28+J30+J32+J34+J36+J38+J40+J42+J44+J46</f>
        <v>81</v>
      </c>
      <c r="K47" s="3"/>
      <c r="L47" s="3"/>
      <c r="M47" s="3"/>
      <c r="N47" s="3"/>
      <c r="O47" s="3">
        <f>O20+O22+O24+O26+O28+O30+O32+O34+O36+O38+O40+O42+O44+O46</f>
        <v>2930</v>
      </c>
      <c r="P47" s="3"/>
    </row>
    <row r="48" spans="1:16" ht="15.6" x14ac:dyDescent="0.3">
      <c r="A48" s="3"/>
      <c r="B48" s="3"/>
      <c r="C48" s="3"/>
      <c r="D48" s="3"/>
      <c r="E48" s="3"/>
      <c r="F48" s="3"/>
      <c r="G48" s="3"/>
      <c r="H48" s="3"/>
      <c r="I48" s="4"/>
      <c r="J48" s="3"/>
      <c r="K48" s="3"/>
      <c r="L48" s="3"/>
      <c r="M48" s="3"/>
      <c r="N48" s="3"/>
      <c r="O48" s="3"/>
      <c r="P48" s="3"/>
    </row>
    <row r="49" spans="1:16" ht="15.6" x14ac:dyDescent="0.3">
      <c r="A49" s="3"/>
      <c r="B49" s="3" t="s">
        <v>28</v>
      </c>
      <c r="C49" s="3" t="s">
        <v>200</v>
      </c>
      <c r="D49" s="3"/>
      <c r="E49" s="3"/>
      <c r="F49" s="3"/>
      <c r="G49" s="3"/>
      <c r="H49" s="3"/>
      <c r="I49" s="4"/>
      <c r="J49" s="3"/>
      <c r="K49" s="3"/>
      <c r="L49" s="3"/>
      <c r="M49" s="3"/>
      <c r="N49" s="3"/>
      <c r="O49" s="3"/>
      <c r="P49" s="3"/>
    </row>
    <row r="50" spans="1:16" ht="15.6" x14ac:dyDescent="0.3">
      <c r="C50" s="33"/>
    </row>
    <row r="51" spans="1:16" ht="15.6" x14ac:dyDescent="0.3">
      <c r="B51" s="3" t="s">
        <v>32</v>
      </c>
      <c r="C51" s="33" t="s">
        <v>201</v>
      </c>
    </row>
    <row r="52" spans="1:16" ht="15.6" x14ac:dyDescent="0.3">
      <c r="C52" s="33"/>
    </row>
    <row r="53" spans="1:16" ht="15.6" x14ac:dyDescent="0.3">
      <c r="B53" s="3" t="s">
        <v>33</v>
      </c>
      <c r="C53" s="3" t="s">
        <v>202</v>
      </c>
    </row>
    <row r="54" spans="1:16" ht="15.6" x14ac:dyDescent="0.3">
      <c r="C54" s="33"/>
    </row>
    <row r="55" spans="1:16" ht="15.6" x14ac:dyDescent="0.3">
      <c r="C55" s="33" t="s">
        <v>52</v>
      </c>
    </row>
    <row r="57" spans="1:16" x14ac:dyDescent="0.3">
      <c r="C57" t="s">
        <v>52</v>
      </c>
      <c r="D57" t="s">
        <v>52</v>
      </c>
    </row>
    <row r="58" spans="1:16" x14ac:dyDescent="0.3">
      <c r="C58" t="s">
        <v>52</v>
      </c>
      <c r="D58" t="s">
        <v>52</v>
      </c>
    </row>
  </sheetData>
  <mergeCells count="2">
    <mergeCell ref="A1:G1"/>
    <mergeCell ref="H7:I7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7C35C-50CD-4460-BA6E-650BE82C9867}">
  <dimension ref="A1:R58"/>
  <sheetViews>
    <sheetView tabSelected="1" zoomScale="85" zoomScaleNormal="85" workbookViewId="0">
      <selection activeCell="M10" sqref="M10"/>
    </sheetView>
  </sheetViews>
  <sheetFormatPr defaultRowHeight="14.4" x14ac:dyDescent="0.3"/>
  <cols>
    <col min="1" max="1" width="11.33203125" customWidth="1"/>
    <col min="2" max="2" width="29.33203125" customWidth="1"/>
    <col min="3" max="3" width="22.109375" customWidth="1"/>
    <col min="4" max="4" width="14.88671875" customWidth="1"/>
    <col min="5" max="5" width="16.6640625" customWidth="1"/>
    <col min="6" max="6" width="17.44140625" customWidth="1"/>
    <col min="8" max="8" width="20.44140625" customWidth="1"/>
    <col min="13" max="13" width="10.6640625" customWidth="1"/>
    <col min="14" max="14" width="10" bestFit="1" customWidth="1"/>
    <col min="15" max="15" width="10.6640625" customWidth="1"/>
    <col min="18" max="18" width="9.6640625" bestFit="1" customWidth="1"/>
  </cols>
  <sheetData>
    <row r="1" spans="1:18" ht="18" x14ac:dyDescent="0.35">
      <c r="A1" s="66" t="s">
        <v>0</v>
      </c>
      <c r="B1" s="66"/>
      <c r="C1" s="66"/>
      <c r="D1" s="66"/>
      <c r="E1" s="66"/>
      <c r="F1" s="66"/>
      <c r="G1" s="66"/>
      <c r="H1" s="1"/>
      <c r="I1" s="2"/>
      <c r="J1" s="1"/>
      <c r="K1" s="1"/>
      <c r="L1" s="1"/>
      <c r="M1" s="1"/>
      <c r="N1" s="1"/>
      <c r="O1" s="1"/>
      <c r="P1" s="1"/>
    </row>
    <row r="2" spans="1:18" ht="15.6" x14ac:dyDescent="0.3">
      <c r="A2" s="3"/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</row>
    <row r="3" spans="1:18" ht="15.6" x14ac:dyDescent="0.3">
      <c r="A3" s="3"/>
      <c r="B3" s="5" t="s">
        <v>1</v>
      </c>
      <c r="C3" s="6" t="s">
        <v>43</v>
      </c>
      <c r="D3" s="7"/>
      <c r="E3" s="3"/>
      <c r="F3" s="5" t="s">
        <v>2</v>
      </c>
      <c r="G3" s="8">
        <v>4355</v>
      </c>
      <c r="H3" s="34" t="s">
        <v>41</v>
      </c>
      <c r="I3" s="35">
        <v>49</v>
      </c>
      <c r="J3" s="3"/>
      <c r="K3" s="3"/>
      <c r="L3" s="3"/>
      <c r="N3" s="3" t="s">
        <v>163</v>
      </c>
      <c r="O3" s="3"/>
      <c r="P3" s="3"/>
      <c r="Q3" s="61" t="s">
        <v>196</v>
      </c>
      <c r="R3" s="62">
        <v>44702</v>
      </c>
    </row>
    <row r="4" spans="1:18" ht="15.6" x14ac:dyDescent="0.3">
      <c r="A4" s="3"/>
      <c r="B4" s="5" t="s">
        <v>3</v>
      </c>
      <c r="C4" s="37">
        <v>300155</v>
      </c>
      <c r="D4" s="7"/>
      <c r="E4" s="3"/>
      <c r="F4" s="5" t="s">
        <v>4</v>
      </c>
      <c r="G4" s="56">
        <f>J16+'6-22-22'!G4</f>
        <v>2849</v>
      </c>
      <c r="H4" s="34" t="s">
        <v>42</v>
      </c>
      <c r="I4" s="16">
        <v>39</v>
      </c>
      <c r="J4" s="58"/>
      <c r="K4" s="3"/>
      <c r="L4" s="3"/>
      <c r="M4" s="3"/>
      <c r="N4" s="3"/>
      <c r="O4" s="3"/>
      <c r="P4" s="3" t="s">
        <v>52</v>
      </c>
      <c r="Q4" s="61" t="s">
        <v>196</v>
      </c>
      <c r="R4" s="62">
        <v>44732</v>
      </c>
    </row>
    <row r="5" spans="1:18" ht="15.6" x14ac:dyDescent="0.3">
      <c r="A5" s="3"/>
      <c r="B5" s="5" t="s">
        <v>5</v>
      </c>
      <c r="C5" s="38">
        <v>44735</v>
      </c>
      <c r="D5" s="3"/>
      <c r="E5" s="3"/>
      <c r="F5" s="3"/>
      <c r="G5" s="59">
        <f>G4/G3</f>
        <v>0.65419058553386911</v>
      </c>
      <c r="H5" s="3"/>
      <c r="I5" s="60">
        <f>I4/I3</f>
        <v>0.79591836734693877</v>
      </c>
      <c r="J5" s="3"/>
      <c r="K5" s="3"/>
      <c r="L5" s="3"/>
      <c r="M5" s="3"/>
      <c r="N5" s="3"/>
      <c r="O5" s="3"/>
      <c r="P5" s="3"/>
      <c r="Q5" s="61"/>
      <c r="R5" s="61"/>
    </row>
    <row r="6" spans="1:18" ht="15.6" x14ac:dyDescent="0.3">
      <c r="A6" s="3"/>
      <c r="B6" s="5"/>
      <c r="C6" s="3"/>
      <c r="D6" s="3"/>
      <c r="E6" s="3"/>
      <c r="F6" s="3"/>
      <c r="G6" s="3"/>
      <c r="H6" s="3"/>
      <c r="I6" s="4"/>
      <c r="J6" s="3"/>
      <c r="K6" s="30"/>
      <c r="L6" s="3"/>
      <c r="M6" s="3"/>
      <c r="N6" s="3"/>
      <c r="O6" s="3"/>
      <c r="P6" s="3"/>
      <c r="Q6" s="61"/>
      <c r="R6" s="61"/>
    </row>
    <row r="7" spans="1:18" ht="15.6" x14ac:dyDescent="0.3">
      <c r="A7" s="10" t="s">
        <v>6</v>
      </c>
      <c r="B7" s="11"/>
      <c r="C7" s="12" t="s">
        <v>7</v>
      </c>
      <c r="D7" s="3"/>
      <c r="E7" s="12" t="s">
        <v>8</v>
      </c>
      <c r="F7" s="12" t="s">
        <v>34</v>
      </c>
      <c r="G7" s="3"/>
      <c r="H7" s="67" t="s">
        <v>7</v>
      </c>
      <c r="I7" s="67"/>
      <c r="J7" s="12" t="s">
        <v>8</v>
      </c>
      <c r="K7" s="3"/>
      <c r="L7" s="3"/>
      <c r="M7" s="3"/>
      <c r="N7" s="3"/>
      <c r="O7" s="3"/>
      <c r="P7" s="3"/>
      <c r="Q7" s="61"/>
      <c r="R7" s="61"/>
    </row>
    <row r="8" spans="1:18" ht="15.6" x14ac:dyDescent="0.3">
      <c r="A8" s="13">
        <v>1</v>
      </c>
      <c r="B8" s="5" t="s">
        <v>9</v>
      </c>
      <c r="C8" s="14" t="s">
        <v>35</v>
      </c>
      <c r="D8" s="15"/>
      <c r="E8" s="35">
        <v>9.5</v>
      </c>
      <c r="F8" s="16">
        <v>66</v>
      </c>
      <c r="G8" s="11">
        <v>9</v>
      </c>
      <c r="H8" s="14" t="s">
        <v>40</v>
      </c>
      <c r="I8" s="8"/>
      <c r="J8" s="35">
        <v>9.5</v>
      </c>
      <c r="K8" s="3"/>
      <c r="L8" s="3"/>
      <c r="M8" s="3"/>
      <c r="N8" s="3"/>
      <c r="O8" s="3"/>
      <c r="P8" s="3"/>
      <c r="Q8" s="61"/>
      <c r="R8" s="61"/>
    </row>
    <row r="9" spans="1:18" ht="15.6" x14ac:dyDescent="0.3">
      <c r="A9" s="13">
        <v>2</v>
      </c>
      <c r="B9" s="5" t="s">
        <v>10</v>
      </c>
      <c r="C9" s="14" t="s">
        <v>37</v>
      </c>
      <c r="D9" s="8"/>
      <c r="E9" s="35">
        <v>9.5</v>
      </c>
      <c r="F9" s="16"/>
      <c r="G9" s="11">
        <v>10</v>
      </c>
      <c r="H9" s="14"/>
      <c r="I9" s="8"/>
      <c r="J9" s="39"/>
      <c r="K9" s="3"/>
      <c r="L9" s="3"/>
      <c r="M9" s="3"/>
      <c r="N9" s="3"/>
      <c r="O9" s="3"/>
      <c r="P9" s="3"/>
      <c r="Q9" s="61"/>
      <c r="R9" s="61"/>
    </row>
    <row r="10" spans="1:18" ht="15.6" x14ac:dyDescent="0.3">
      <c r="A10" s="13">
        <v>3</v>
      </c>
      <c r="B10" s="5" t="s">
        <v>11</v>
      </c>
      <c r="C10" s="14" t="s">
        <v>36</v>
      </c>
      <c r="D10" s="8"/>
      <c r="E10" s="35">
        <v>9.5</v>
      </c>
      <c r="F10" s="16">
        <v>78</v>
      </c>
      <c r="G10" s="11">
        <v>11</v>
      </c>
      <c r="H10" s="3"/>
      <c r="I10" s="8"/>
      <c r="J10" s="39"/>
      <c r="K10" s="3"/>
      <c r="L10" s="3"/>
      <c r="M10" s="3"/>
      <c r="N10" s="3"/>
      <c r="O10" s="3"/>
      <c r="P10" s="3"/>
      <c r="Q10" s="61"/>
      <c r="R10" s="61"/>
    </row>
    <row r="11" spans="1:18" ht="15.6" x14ac:dyDescent="0.3">
      <c r="A11" s="13">
        <v>4</v>
      </c>
      <c r="B11" s="5" t="s">
        <v>12</v>
      </c>
      <c r="C11" s="14" t="s">
        <v>29</v>
      </c>
      <c r="D11" s="8"/>
      <c r="E11" s="35">
        <v>9.5</v>
      </c>
      <c r="F11" s="16"/>
      <c r="G11" s="11">
        <v>12</v>
      </c>
      <c r="H11" s="3"/>
      <c r="I11" s="8"/>
      <c r="J11" s="39"/>
      <c r="K11" s="3"/>
      <c r="L11" s="3"/>
      <c r="M11" s="3"/>
      <c r="N11" s="3"/>
      <c r="O11" s="3"/>
      <c r="P11" s="3"/>
      <c r="Q11" s="61"/>
      <c r="R11" s="61"/>
    </row>
    <row r="12" spans="1:18" ht="15.6" x14ac:dyDescent="0.3">
      <c r="A12" s="13">
        <v>5</v>
      </c>
      <c r="B12" s="3"/>
      <c r="C12" s="31" t="s">
        <v>30</v>
      </c>
      <c r="D12" s="8"/>
      <c r="E12" s="35">
        <v>9.5</v>
      </c>
      <c r="F12" s="16"/>
      <c r="G12" s="11">
        <v>13</v>
      </c>
      <c r="H12" s="3"/>
      <c r="I12" s="8"/>
      <c r="J12" s="39"/>
      <c r="K12" s="3"/>
      <c r="L12" s="3"/>
      <c r="M12" s="3"/>
      <c r="N12" s="3"/>
      <c r="O12" s="3"/>
      <c r="P12" s="3"/>
    </row>
    <row r="13" spans="1:18" ht="15.6" x14ac:dyDescent="0.3">
      <c r="A13" s="13">
        <v>6</v>
      </c>
      <c r="B13" s="3"/>
      <c r="C13" s="14" t="s">
        <v>31</v>
      </c>
      <c r="D13" s="8"/>
      <c r="E13" s="35">
        <v>9.5</v>
      </c>
      <c r="F13" s="16">
        <v>74</v>
      </c>
      <c r="G13" s="11">
        <v>14</v>
      </c>
      <c r="H13" s="18"/>
      <c r="I13" s="8"/>
      <c r="J13" s="39"/>
      <c r="K13" s="3"/>
      <c r="L13" s="3"/>
      <c r="M13" s="3"/>
      <c r="N13" s="3"/>
      <c r="O13" s="3"/>
      <c r="P13" s="3"/>
    </row>
    <row r="14" spans="1:18" ht="15.6" x14ac:dyDescent="0.3">
      <c r="A14" s="13">
        <v>7</v>
      </c>
      <c r="B14" s="5" t="s">
        <v>52</v>
      </c>
      <c r="C14" s="14" t="s">
        <v>39</v>
      </c>
      <c r="D14" s="8"/>
      <c r="E14" s="35">
        <v>9.5</v>
      </c>
      <c r="F14" s="16"/>
      <c r="G14" s="11">
        <v>15</v>
      </c>
      <c r="H14" s="3"/>
      <c r="I14" s="8"/>
      <c r="J14" s="39"/>
      <c r="K14" s="3"/>
      <c r="L14" s="3"/>
      <c r="M14" s="3"/>
      <c r="N14" s="3"/>
      <c r="O14" s="3"/>
      <c r="P14" s="3"/>
    </row>
    <row r="15" spans="1:18" ht="15.6" x14ac:dyDescent="0.3">
      <c r="A15" s="13">
        <v>8</v>
      </c>
      <c r="B15" s="3"/>
      <c r="C15" s="14" t="s">
        <v>38</v>
      </c>
      <c r="D15" s="8"/>
      <c r="E15" s="35">
        <v>9.5</v>
      </c>
      <c r="F15" s="16"/>
      <c r="G15" s="11">
        <v>16</v>
      </c>
      <c r="H15" s="3"/>
      <c r="I15" s="8"/>
      <c r="J15" s="39"/>
      <c r="K15" s="3"/>
      <c r="L15" s="3"/>
      <c r="M15" s="3"/>
      <c r="N15" s="3"/>
      <c r="O15" s="3"/>
      <c r="P15" s="3"/>
    </row>
    <row r="16" spans="1:18" ht="15.6" x14ac:dyDescent="0.3">
      <c r="A16" s="3"/>
      <c r="B16" s="3"/>
      <c r="C16" s="3"/>
      <c r="D16" s="3"/>
      <c r="E16" s="3"/>
      <c r="F16" s="3"/>
      <c r="G16" s="13"/>
      <c r="H16" s="7" t="s">
        <v>13</v>
      </c>
      <c r="I16" s="3"/>
      <c r="J16" s="8">
        <f>SUM(E8:E15)+SUM(J8:J15)</f>
        <v>85.5</v>
      </c>
      <c r="K16" s="3"/>
      <c r="L16" s="3"/>
      <c r="M16" s="3"/>
      <c r="N16" s="3"/>
      <c r="O16" s="3"/>
      <c r="P16" s="3"/>
    </row>
    <row r="17" spans="1:16" ht="15.6" x14ac:dyDescent="0.3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  <c r="L17" s="3"/>
      <c r="M17" s="3"/>
      <c r="N17" s="3"/>
      <c r="O17" s="3"/>
      <c r="P17" s="3"/>
    </row>
    <row r="18" spans="1:16" ht="93.6" x14ac:dyDescent="0.3">
      <c r="A18" s="19"/>
      <c r="B18" s="20" t="s">
        <v>14</v>
      </c>
      <c r="C18" s="21" t="s">
        <v>15</v>
      </c>
      <c r="D18" s="22" t="s">
        <v>16</v>
      </c>
      <c r="E18" s="22" t="s">
        <v>17</v>
      </c>
      <c r="F18" s="22" t="s">
        <v>18</v>
      </c>
      <c r="G18" s="22" t="s">
        <v>19</v>
      </c>
      <c r="H18" s="22" t="s">
        <v>18</v>
      </c>
      <c r="I18" s="22" t="s">
        <v>19</v>
      </c>
      <c r="J18" s="22" t="s">
        <v>20</v>
      </c>
      <c r="K18" s="23" t="s">
        <v>21</v>
      </c>
      <c r="L18" s="24"/>
      <c r="M18" s="23" t="s">
        <v>22</v>
      </c>
      <c r="N18" s="23" t="s">
        <v>23</v>
      </c>
      <c r="O18" s="23" t="s">
        <v>24</v>
      </c>
      <c r="P18" s="23" t="s">
        <v>25</v>
      </c>
    </row>
    <row r="19" spans="1:16" ht="15.6" x14ac:dyDescent="0.3">
      <c r="A19" s="19"/>
      <c r="B19" s="19"/>
      <c r="C19" s="24"/>
      <c r="D19" s="24"/>
      <c r="E19" s="24"/>
      <c r="F19" s="24"/>
      <c r="G19" s="24"/>
      <c r="H19" s="24"/>
      <c r="I19" s="24"/>
      <c r="J19" s="24"/>
      <c r="K19" s="25"/>
      <c r="L19" s="24"/>
      <c r="M19" s="3"/>
      <c r="N19" s="3"/>
      <c r="O19" s="3"/>
      <c r="P19" s="3"/>
    </row>
    <row r="20" spans="1:16" ht="15.6" x14ac:dyDescent="0.3">
      <c r="A20" s="3"/>
      <c r="B20" s="8" t="s">
        <v>26</v>
      </c>
      <c r="C20" s="8">
        <v>1</v>
      </c>
      <c r="D20" s="8">
        <v>1</v>
      </c>
      <c r="E20" s="8"/>
      <c r="F20" s="8"/>
      <c r="G20" s="35">
        <v>0</v>
      </c>
      <c r="H20" s="8"/>
      <c r="I20" s="16"/>
      <c r="J20" s="35">
        <f>F20*G20+H20*I20</f>
        <v>0</v>
      </c>
      <c r="K20" s="16" t="e">
        <f>E20/(J20)</f>
        <v>#DIV/0!</v>
      </c>
      <c r="L20" s="3"/>
      <c r="M20" s="26">
        <v>0</v>
      </c>
      <c r="N20" s="27">
        <f>M20/C20</f>
        <v>0</v>
      </c>
      <c r="O20" s="35">
        <f>J20+'6-22-22'!O20</f>
        <v>108</v>
      </c>
      <c r="P20" s="26">
        <f>M20/O20</f>
        <v>0</v>
      </c>
    </row>
    <row r="21" spans="1:16" ht="15.6" x14ac:dyDescent="0.3">
      <c r="A21" s="3"/>
      <c r="B21" s="3"/>
      <c r="C21" s="3"/>
      <c r="D21" s="3"/>
      <c r="E21" s="3"/>
      <c r="F21" s="3"/>
      <c r="G21" s="40"/>
      <c r="H21" s="3"/>
      <c r="I21" s="28"/>
      <c r="J21" s="40"/>
      <c r="K21" s="28"/>
      <c r="L21" s="3"/>
      <c r="M21" s="29"/>
      <c r="N21" s="3"/>
      <c r="O21" s="3"/>
      <c r="P21" s="3"/>
    </row>
    <row r="22" spans="1:16" ht="15.6" x14ac:dyDescent="0.3">
      <c r="A22" s="3"/>
      <c r="B22" s="8" t="s">
        <v>53</v>
      </c>
      <c r="C22" s="8">
        <v>125400</v>
      </c>
      <c r="D22" s="41"/>
      <c r="E22" s="41"/>
      <c r="F22" s="8"/>
      <c r="G22" s="35"/>
      <c r="H22" s="8"/>
      <c r="I22" s="16"/>
      <c r="J22" s="35">
        <f>F22*G22+H22*I22</f>
        <v>0</v>
      </c>
      <c r="K22" s="16" t="e">
        <f>E22/(J22)</f>
        <v>#DIV/0!</v>
      </c>
      <c r="L22" s="3"/>
      <c r="M22" s="26">
        <f>E22+'6-22-22'!M22</f>
        <v>125400</v>
      </c>
      <c r="N22" s="27">
        <f>M22/C22</f>
        <v>1</v>
      </c>
      <c r="O22" s="35">
        <f>J22+'6-22-22'!O22</f>
        <v>679.75</v>
      </c>
      <c r="P22" s="26">
        <f>M22/O22</f>
        <v>184.47958808385437</v>
      </c>
    </row>
    <row r="23" spans="1:16" ht="15.6" x14ac:dyDescent="0.3">
      <c r="A23" s="3"/>
      <c r="B23" s="3"/>
      <c r="C23" s="3"/>
      <c r="D23" s="3"/>
      <c r="E23" s="3"/>
      <c r="F23" s="3"/>
      <c r="G23" s="40"/>
      <c r="H23" s="3"/>
      <c r="I23" s="28"/>
      <c r="J23" s="40"/>
      <c r="K23" s="28"/>
      <c r="L23" s="3"/>
      <c r="M23" s="29"/>
      <c r="N23" s="3"/>
      <c r="O23" s="36"/>
      <c r="P23" s="29"/>
    </row>
    <row r="24" spans="1:16" ht="15.6" x14ac:dyDescent="0.3">
      <c r="A24" s="3"/>
      <c r="B24" s="8" t="s">
        <v>54</v>
      </c>
      <c r="C24" s="8">
        <v>125400</v>
      </c>
      <c r="D24" s="8"/>
      <c r="E24" s="8"/>
      <c r="F24" s="8"/>
      <c r="G24" s="35"/>
      <c r="H24" s="8"/>
      <c r="I24" s="16"/>
      <c r="J24" s="35">
        <f>F24*G24+H24*I24</f>
        <v>0</v>
      </c>
      <c r="K24" s="16" t="e">
        <f>E24/(J24)</f>
        <v>#DIV/0!</v>
      </c>
      <c r="L24" s="3"/>
      <c r="M24" s="26">
        <f>E24+'6-22-22'!M24</f>
        <v>125400</v>
      </c>
      <c r="N24" s="27">
        <f>M24/C24</f>
        <v>1</v>
      </c>
      <c r="O24" s="35">
        <f>J24+'6-22-22'!O24</f>
        <v>449.75</v>
      </c>
      <c r="P24" s="26">
        <f>M24/O24</f>
        <v>278.82156753752082</v>
      </c>
    </row>
    <row r="25" spans="1:16" ht="15.6" x14ac:dyDescent="0.3">
      <c r="A25" s="3"/>
      <c r="B25" s="3"/>
      <c r="C25" s="3"/>
      <c r="D25" s="3"/>
      <c r="E25" s="3"/>
      <c r="F25" s="3"/>
      <c r="G25" s="36"/>
      <c r="H25" s="3"/>
      <c r="I25" s="4"/>
      <c r="J25" s="36"/>
      <c r="K25" s="4"/>
      <c r="L25" s="3"/>
      <c r="M25" s="29"/>
      <c r="N25" s="3"/>
      <c r="O25" s="3"/>
      <c r="P25" s="3"/>
    </row>
    <row r="26" spans="1:16" ht="15.6" x14ac:dyDescent="0.3">
      <c r="A26" s="3"/>
      <c r="B26" s="8" t="s">
        <v>44</v>
      </c>
      <c r="C26" s="8">
        <v>3040</v>
      </c>
      <c r="D26" s="8"/>
      <c r="E26" s="8"/>
      <c r="F26" s="8"/>
      <c r="G26" s="35"/>
      <c r="H26" s="8"/>
      <c r="I26" s="16"/>
      <c r="J26" s="35">
        <f>F26*G26+H26*I26</f>
        <v>0</v>
      </c>
      <c r="K26" s="16" t="e">
        <f>E26/(J26)</f>
        <v>#DIV/0!</v>
      </c>
      <c r="L26" s="3"/>
      <c r="M26" s="26">
        <f>E26+'6-22-22'!M26</f>
        <v>1516</v>
      </c>
      <c r="N26" s="27">
        <f>M26/C26</f>
        <v>0.49868421052631579</v>
      </c>
      <c r="O26" s="35">
        <f>J26+'6-22-22'!O26</f>
        <v>121.25</v>
      </c>
      <c r="P26" s="26">
        <f>M26/O26</f>
        <v>12.503092783505155</v>
      </c>
    </row>
    <row r="27" spans="1:16" ht="15.6" x14ac:dyDescent="0.3">
      <c r="A27" s="3"/>
      <c r="B27" s="3"/>
      <c r="C27" s="3"/>
      <c r="D27" s="3"/>
      <c r="E27" s="3"/>
      <c r="F27" s="3"/>
      <c r="G27" s="36"/>
      <c r="H27" s="3"/>
      <c r="I27" s="4"/>
      <c r="J27" s="36"/>
      <c r="K27" s="4"/>
      <c r="L27" s="3"/>
      <c r="M27" s="29"/>
      <c r="N27" s="3"/>
      <c r="O27" s="3"/>
      <c r="P27" s="3"/>
    </row>
    <row r="28" spans="1:16" ht="15.6" x14ac:dyDescent="0.3">
      <c r="A28" s="3"/>
      <c r="B28" s="8" t="s">
        <v>45</v>
      </c>
      <c r="C28" s="8">
        <v>3040</v>
      </c>
      <c r="D28" s="8"/>
      <c r="E28" s="8"/>
      <c r="F28" s="8"/>
      <c r="G28" s="35"/>
      <c r="H28" s="8"/>
      <c r="I28" s="35"/>
      <c r="J28" s="35">
        <f>F28*G28+H28*I28</f>
        <v>0</v>
      </c>
      <c r="K28" s="16" t="e">
        <f>E28/(J28)</f>
        <v>#DIV/0!</v>
      </c>
      <c r="L28" s="3"/>
      <c r="M28" s="26">
        <f>E28+'6-22-22'!M28</f>
        <v>853</v>
      </c>
      <c r="N28" s="27">
        <f>M28/C28</f>
        <v>0.28059210526315792</v>
      </c>
      <c r="O28" s="35">
        <f>J28+'6-22-22'!O28</f>
        <v>310.75</v>
      </c>
      <c r="P28" s="26">
        <f>M28/O28</f>
        <v>2.7449718423169749</v>
      </c>
    </row>
    <row r="29" spans="1:16" ht="15.6" x14ac:dyDescent="0.3">
      <c r="A29" s="3"/>
      <c r="B29" s="3"/>
      <c r="C29" s="3"/>
      <c r="D29" s="3"/>
      <c r="E29" s="3"/>
      <c r="F29" s="3"/>
      <c r="G29" s="36"/>
      <c r="H29" s="3"/>
      <c r="I29" s="4"/>
      <c r="J29" s="36"/>
      <c r="K29" s="4"/>
      <c r="L29" s="3"/>
      <c r="M29" s="29"/>
      <c r="N29" s="3"/>
      <c r="O29" s="3"/>
      <c r="P29" s="3"/>
    </row>
    <row r="30" spans="1:16" ht="15.6" x14ac:dyDescent="0.3">
      <c r="A30" s="3"/>
      <c r="B30" s="8" t="s">
        <v>47</v>
      </c>
      <c r="C30" s="8">
        <v>125400</v>
      </c>
      <c r="D30" s="8"/>
      <c r="E30" s="8"/>
      <c r="F30" s="8"/>
      <c r="G30" s="35"/>
      <c r="H30" s="8"/>
      <c r="I30" s="35"/>
      <c r="J30" s="35">
        <f>F30*G30+H30*I30</f>
        <v>0</v>
      </c>
      <c r="K30" s="16" t="e">
        <f>E30/(J30)</f>
        <v>#DIV/0!</v>
      </c>
      <c r="L30" s="3"/>
      <c r="M30" s="26">
        <f>E30+'6-22-22'!M30</f>
        <v>123400</v>
      </c>
      <c r="N30" s="27">
        <f>M30/C30</f>
        <v>0.98405103668261562</v>
      </c>
      <c r="O30" s="35">
        <f>J30+'6-22-22'!O30</f>
        <v>645.5</v>
      </c>
      <c r="P30" s="26">
        <f>M30/O30</f>
        <v>191.16963594113091</v>
      </c>
    </row>
    <row r="31" spans="1:16" ht="15.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7"/>
      <c r="O31" s="3"/>
      <c r="P31" s="3"/>
    </row>
    <row r="32" spans="1:16" ht="15.6" x14ac:dyDescent="0.3">
      <c r="A32" s="3"/>
      <c r="B32" s="8" t="s">
        <v>46</v>
      </c>
      <c r="C32" s="8">
        <v>324</v>
      </c>
      <c r="D32" s="8"/>
      <c r="E32" s="8">
        <v>165</v>
      </c>
      <c r="F32" s="8">
        <v>9</v>
      </c>
      <c r="G32" s="35">
        <v>9.5</v>
      </c>
      <c r="H32" s="8"/>
      <c r="I32" s="16"/>
      <c r="J32" s="35">
        <f>F32*G32+H32*I32</f>
        <v>85.5</v>
      </c>
      <c r="K32" s="16">
        <f>E32/(J32)</f>
        <v>1.9298245614035088</v>
      </c>
      <c r="L32" s="3"/>
      <c r="M32" s="26">
        <f>E32+'6-22-22'!M32</f>
        <v>165</v>
      </c>
      <c r="N32" s="27">
        <f>M32/C32</f>
        <v>0.5092592592592593</v>
      </c>
      <c r="O32" s="35">
        <f>J32+'6-22-22'!O32</f>
        <v>85.5</v>
      </c>
      <c r="P32" s="26">
        <f>M32/O32</f>
        <v>1.9298245614035088</v>
      </c>
    </row>
    <row r="33" spans="1:16" ht="15.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7"/>
      <c r="O33" s="3"/>
      <c r="P33" s="3"/>
    </row>
    <row r="34" spans="1:16" ht="15.6" x14ac:dyDescent="0.3">
      <c r="A34" s="3"/>
      <c r="B34" s="8" t="s">
        <v>48</v>
      </c>
      <c r="C34" s="8">
        <v>115000</v>
      </c>
      <c r="D34" s="8"/>
      <c r="E34" s="8"/>
      <c r="F34" s="8"/>
      <c r="G34" s="35"/>
      <c r="H34" s="8"/>
      <c r="I34" s="16"/>
      <c r="J34" s="35">
        <f>F34*G34+H34*I34</f>
        <v>0</v>
      </c>
      <c r="K34" s="16" t="e">
        <f>E34/(J34)</f>
        <v>#DIV/0!</v>
      </c>
      <c r="L34" s="3"/>
      <c r="M34" s="26">
        <f>E34+'6-22-22'!M34</f>
        <v>0</v>
      </c>
      <c r="N34" s="27">
        <f>M34/C34</f>
        <v>0</v>
      </c>
      <c r="O34" s="35">
        <f>J34+'6-22-22'!O34</f>
        <v>0</v>
      </c>
      <c r="P34" s="26" t="e">
        <f>M34/O34</f>
        <v>#DIV/0!</v>
      </c>
    </row>
    <row r="35" spans="1:16" ht="15.6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27"/>
      <c r="O35" s="3"/>
      <c r="P35" s="3"/>
    </row>
    <row r="36" spans="1:16" ht="15.6" x14ac:dyDescent="0.3">
      <c r="A36" s="3"/>
      <c r="B36" s="8" t="s">
        <v>49</v>
      </c>
      <c r="C36" s="8">
        <v>8</v>
      </c>
      <c r="D36" s="8"/>
      <c r="E36" s="8"/>
      <c r="F36" s="8"/>
      <c r="G36" s="35"/>
      <c r="H36" s="8"/>
      <c r="I36" s="16"/>
      <c r="J36" s="35">
        <f>F36*G36+H36*I36</f>
        <v>0</v>
      </c>
      <c r="K36" s="16" t="e">
        <f>E36/(J36)</f>
        <v>#DIV/0!</v>
      </c>
      <c r="L36" s="3"/>
      <c r="M36" s="26">
        <f>E36+'6-22-22'!M36</f>
        <v>0</v>
      </c>
      <c r="N36" s="27">
        <f>M36/C36</f>
        <v>0</v>
      </c>
      <c r="O36" s="35">
        <f>J36+'6-22-22'!O36</f>
        <v>24</v>
      </c>
      <c r="P36" s="26">
        <f>M36/O36</f>
        <v>0</v>
      </c>
    </row>
    <row r="37" spans="1:16" ht="15.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27"/>
      <c r="O37" s="3"/>
      <c r="P37" s="3"/>
    </row>
    <row r="38" spans="1:16" ht="15.6" x14ac:dyDescent="0.3">
      <c r="A38" s="3"/>
      <c r="B38" s="8" t="s">
        <v>50</v>
      </c>
      <c r="C38" s="8">
        <f>2760+480</f>
        <v>3240</v>
      </c>
      <c r="D38" s="8"/>
      <c r="E38" s="8"/>
      <c r="F38" s="8"/>
      <c r="G38" s="35"/>
      <c r="H38" s="8"/>
      <c r="I38" s="16"/>
      <c r="J38" s="35">
        <f>F38*G38+H38*I38</f>
        <v>0</v>
      </c>
      <c r="K38" s="16" t="e">
        <f>E38/(J38)</f>
        <v>#DIV/0!</v>
      </c>
      <c r="L38" s="3"/>
      <c r="M38" s="26">
        <f>E38+'6-22-22'!M38</f>
        <v>1635</v>
      </c>
      <c r="N38" s="27">
        <f>M38/C38</f>
        <v>0.50462962962962965</v>
      </c>
      <c r="O38" s="35">
        <f>J38+'6-22-22'!O38</f>
        <v>72</v>
      </c>
      <c r="P38" s="26">
        <f>M38/O38</f>
        <v>22.708333333333332</v>
      </c>
    </row>
    <row r="39" spans="1:16" ht="15.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7"/>
      <c r="O39" s="3"/>
      <c r="P39" s="3"/>
    </row>
    <row r="40" spans="1:16" ht="15.6" x14ac:dyDescent="0.3">
      <c r="A40" s="3"/>
      <c r="B40" s="8" t="s">
        <v>115</v>
      </c>
      <c r="C40" s="8">
        <v>123</v>
      </c>
      <c r="D40" s="8"/>
      <c r="E40" s="8"/>
      <c r="F40" s="8"/>
      <c r="G40" s="35"/>
      <c r="H40" s="8"/>
      <c r="I40" s="16"/>
      <c r="J40" s="35">
        <f>F40*G40+H40*I40</f>
        <v>0</v>
      </c>
      <c r="K40" s="16" t="e">
        <f>E40/(J40)</f>
        <v>#DIV/0!</v>
      </c>
      <c r="L40" s="3"/>
      <c r="M40" s="26">
        <f>E40+'6-22-22'!M40</f>
        <v>0</v>
      </c>
      <c r="N40" s="27">
        <f>M40/C40</f>
        <v>0</v>
      </c>
      <c r="O40" s="35">
        <f>J40+'6-22-22'!O40</f>
        <v>0</v>
      </c>
      <c r="P40" s="35" t="e">
        <f>M40/O40</f>
        <v>#DIV/0!</v>
      </c>
    </row>
    <row r="41" spans="1:16" ht="15.6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27"/>
      <c r="O41" s="3"/>
      <c r="P41" s="3"/>
    </row>
    <row r="42" spans="1:16" ht="15.6" x14ac:dyDescent="0.3">
      <c r="A42" s="3"/>
      <c r="B42" s="8" t="s">
        <v>113</v>
      </c>
      <c r="C42" s="8" t="s">
        <v>52</v>
      </c>
      <c r="D42" s="8"/>
      <c r="E42" s="8"/>
      <c r="F42" s="8"/>
      <c r="G42" s="35"/>
      <c r="H42" s="8"/>
      <c r="I42" s="16"/>
      <c r="J42" s="35">
        <f>F42*G42+H42*I42</f>
        <v>0</v>
      </c>
      <c r="K42" s="16" t="e">
        <f>E42/(J42)</f>
        <v>#DIV/0!</v>
      </c>
      <c r="L42" s="3"/>
      <c r="M42" s="26">
        <f>E42+'6-22-22'!M42</f>
        <v>0</v>
      </c>
      <c r="N42" s="53" t="e">
        <f>M42/C42</f>
        <v>#VALUE!</v>
      </c>
      <c r="O42" s="35">
        <f>J42+'6-22-22'!O42</f>
        <v>0</v>
      </c>
      <c r="P42" s="35" t="e">
        <f>M42/O42</f>
        <v>#DIV/0!</v>
      </c>
    </row>
    <row r="43" spans="1:16" ht="15.6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27"/>
      <c r="O43" s="3"/>
      <c r="P43" s="3"/>
    </row>
    <row r="44" spans="1:16" ht="15.6" x14ac:dyDescent="0.3">
      <c r="A44" s="3"/>
      <c r="B44" s="8" t="s">
        <v>114</v>
      </c>
      <c r="C44" s="8" t="s">
        <v>52</v>
      </c>
      <c r="D44" s="8"/>
      <c r="E44" s="8"/>
      <c r="F44" s="8"/>
      <c r="G44" s="35"/>
      <c r="H44" s="8"/>
      <c r="I44" s="16"/>
      <c r="J44" s="35">
        <f>F44*G44+H44*I44</f>
        <v>0</v>
      </c>
      <c r="K44" s="16" t="e">
        <f>E44/(J44)</f>
        <v>#DIV/0!</v>
      </c>
      <c r="L44" s="3"/>
      <c r="M44" s="26" t="e">
        <f>E44+'6-22-22'!M44</f>
        <v>#VALUE!</v>
      </c>
      <c r="N44" s="53" t="e">
        <f>M44/C44</f>
        <v>#VALUE!</v>
      </c>
      <c r="O44" s="35">
        <f>J44+'6-22-22'!O44</f>
        <v>99</v>
      </c>
      <c r="P44" s="26" t="e">
        <f>M44/O44</f>
        <v>#VALUE!</v>
      </c>
    </row>
    <row r="45" spans="1:16" ht="15.6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27"/>
      <c r="O45" s="3"/>
      <c r="P45" s="3"/>
    </row>
    <row r="46" spans="1:16" ht="15.6" x14ac:dyDescent="0.3">
      <c r="A46" s="3"/>
      <c r="B46" s="8" t="s">
        <v>75</v>
      </c>
      <c r="C46" s="8"/>
      <c r="D46" s="8"/>
      <c r="E46" s="8"/>
      <c r="F46" s="8"/>
      <c r="G46" s="35"/>
      <c r="H46" s="8"/>
      <c r="I46" s="16"/>
      <c r="J46" s="35">
        <f>F46*G46+H46*I46</f>
        <v>0</v>
      </c>
      <c r="K46" s="16" t="e">
        <f>E46/(J46)</f>
        <v>#DIV/0!</v>
      </c>
      <c r="L46" s="3"/>
      <c r="M46" s="26">
        <f>E46+'6-22-22'!M46</f>
        <v>0</v>
      </c>
      <c r="N46" s="53" t="e">
        <f>M46/C46</f>
        <v>#DIV/0!</v>
      </c>
      <c r="O46" s="35">
        <f>J46+'6-22-22'!O46</f>
        <v>253.5</v>
      </c>
      <c r="P46" s="26">
        <f>M46/O46</f>
        <v>0</v>
      </c>
    </row>
    <row r="47" spans="1:16" ht="15.6" x14ac:dyDescent="0.3">
      <c r="A47" s="3"/>
      <c r="B47" s="3" t="s">
        <v>27</v>
      </c>
      <c r="C47" s="3"/>
      <c r="D47" s="3" t="s">
        <v>52</v>
      </c>
      <c r="E47" s="3"/>
      <c r="F47" s="3"/>
      <c r="G47" s="3"/>
      <c r="H47" s="30"/>
      <c r="I47" s="4"/>
      <c r="J47" s="3">
        <f>J20+J22+J24+J26+J28+J30+J32+J34+J36+J38+J40+J42+J44+J46</f>
        <v>85.5</v>
      </c>
      <c r="K47" s="3"/>
      <c r="L47" s="3"/>
      <c r="M47" s="3"/>
      <c r="N47" s="3"/>
      <c r="O47" s="3">
        <f>O20+O22+O24+O26+O28+O30+O32+O34+O36+O38+O40+O42+O44+O46</f>
        <v>2849</v>
      </c>
      <c r="P47" s="3"/>
    </row>
    <row r="48" spans="1:16" ht="15.6" x14ac:dyDescent="0.3">
      <c r="A48" s="3"/>
      <c r="B48" s="3"/>
      <c r="C48" s="3"/>
      <c r="D48" s="3"/>
      <c r="E48" s="3"/>
      <c r="F48" s="3"/>
      <c r="G48" s="3"/>
      <c r="H48" s="3"/>
      <c r="I48" s="4"/>
      <c r="J48" s="3"/>
      <c r="K48" s="3"/>
      <c r="L48" s="3"/>
      <c r="M48" s="3"/>
      <c r="N48" s="3"/>
      <c r="O48" s="3"/>
      <c r="P48" s="3"/>
    </row>
    <row r="49" spans="1:16" ht="15.6" x14ac:dyDescent="0.3">
      <c r="A49" s="3"/>
      <c r="B49" s="3" t="s">
        <v>28</v>
      </c>
      <c r="C49" s="3" t="s">
        <v>197</v>
      </c>
      <c r="D49" s="3"/>
      <c r="E49" s="3"/>
      <c r="F49" s="3"/>
      <c r="G49" s="3"/>
      <c r="H49" s="3"/>
      <c r="I49" s="4"/>
      <c r="J49" s="3"/>
      <c r="K49" s="3"/>
      <c r="L49" s="3"/>
      <c r="M49" s="3"/>
      <c r="N49" s="3"/>
      <c r="O49" s="3"/>
      <c r="P49" s="3"/>
    </row>
    <row r="50" spans="1:16" ht="15.6" x14ac:dyDescent="0.3">
      <c r="C50" s="33"/>
    </row>
    <row r="51" spans="1:16" ht="15.6" x14ac:dyDescent="0.3">
      <c r="B51" s="3" t="s">
        <v>32</v>
      </c>
      <c r="C51" s="33" t="s">
        <v>198</v>
      </c>
    </row>
    <row r="52" spans="1:16" ht="15.6" x14ac:dyDescent="0.3">
      <c r="C52" s="33"/>
    </row>
    <row r="53" spans="1:16" ht="15.6" x14ac:dyDescent="0.3">
      <c r="B53" s="3" t="s">
        <v>33</v>
      </c>
      <c r="C53" s="3" t="s">
        <v>199</v>
      </c>
    </row>
    <row r="54" spans="1:16" ht="15.6" x14ac:dyDescent="0.3">
      <c r="C54" s="33"/>
    </row>
    <row r="55" spans="1:16" ht="15.6" x14ac:dyDescent="0.3">
      <c r="C55" s="33" t="s">
        <v>52</v>
      </c>
    </row>
    <row r="57" spans="1:16" x14ac:dyDescent="0.3">
      <c r="C57" t="s">
        <v>52</v>
      </c>
      <c r="D57" t="s">
        <v>52</v>
      </c>
    </row>
    <row r="58" spans="1:16" x14ac:dyDescent="0.3">
      <c r="C58" t="s">
        <v>52</v>
      </c>
      <c r="D58" t="s">
        <v>52</v>
      </c>
    </row>
  </sheetData>
  <mergeCells count="2">
    <mergeCell ref="A1:G1"/>
    <mergeCell ref="H7:I7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1AC4-20CD-477A-94D3-F27BF7AFA9AE}">
  <dimension ref="A1:R58"/>
  <sheetViews>
    <sheetView zoomScale="85" zoomScaleNormal="85" workbookViewId="0">
      <selection activeCell="M11" sqref="M11"/>
    </sheetView>
  </sheetViews>
  <sheetFormatPr defaultRowHeight="14.4" x14ac:dyDescent="0.3"/>
  <cols>
    <col min="1" max="1" width="11.33203125" customWidth="1"/>
    <col min="2" max="2" width="29.33203125" customWidth="1"/>
    <col min="3" max="3" width="22.109375" customWidth="1"/>
    <col min="4" max="4" width="14.88671875" customWidth="1"/>
    <col min="5" max="5" width="16.6640625" customWidth="1"/>
    <col min="6" max="6" width="17.44140625" customWidth="1"/>
    <col min="8" max="8" width="20.44140625" customWidth="1"/>
    <col min="13" max="13" width="10.6640625" customWidth="1"/>
    <col min="14" max="14" width="10" bestFit="1" customWidth="1"/>
    <col min="15" max="15" width="10.6640625" customWidth="1"/>
    <col min="18" max="18" width="9.6640625" bestFit="1" customWidth="1"/>
  </cols>
  <sheetData>
    <row r="1" spans="1:18" ht="18" x14ac:dyDescent="0.35">
      <c r="A1" s="66" t="s">
        <v>0</v>
      </c>
      <c r="B1" s="66"/>
      <c r="C1" s="66"/>
      <c r="D1" s="66"/>
      <c r="E1" s="66"/>
      <c r="F1" s="66"/>
      <c r="G1" s="66"/>
      <c r="H1" s="1"/>
      <c r="I1" s="2"/>
      <c r="J1" s="1"/>
      <c r="K1" s="1"/>
      <c r="L1" s="1"/>
      <c r="M1" s="1"/>
      <c r="N1" s="1"/>
      <c r="O1" s="1"/>
      <c r="P1" s="1"/>
    </row>
    <row r="2" spans="1:18" ht="15.6" x14ac:dyDescent="0.3">
      <c r="A2" s="3"/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</row>
    <row r="3" spans="1:18" ht="15.6" x14ac:dyDescent="0.3">
      <c r="A3" s="3"/>
      <c r="B3" s="5" t="s">
        <v>1</v>
      </c>
      <c r="C3" s="6" t="s">
        <v>43</v>
      </c>
      <c r="D3" s="7"/>
      <c r="E3" s="3"/>
      <c r="F3" s="5" t="s">
        <v>2</v>
      </c>
      <c r="G3" s="8">
        <v>4355</v>
      </c>
      <c r="H3" s="34" t="s">
        <v>41</v>
      </c>
      <c r="I3" s="35">
        <v>49</v>
      </c>
      <c r="J3" s="3"/>
      <c r="K3" s="3"/>
      <c r="L3" s="3"/>
      <c r="N3" s="3" t="s">
        <v>163</v>
      </c>
      <c r="O3" s="3"/>
      <c r="P3" s="3"/>
      <c r="Q3" s="61" t="s">
        <v>196</v>
      </c>
      <c r="R3" s="62">
        <v>44702</v>
      </c>
    </row>
    <row r="4" spans="1:18" ht="15.6" x14ac:dyDescent="0.3">
      <c r="A4" s="3"/>
      <c r="B4" s="5" t="s">
        <v>3</v>
      </c>
      <c r="C4" s="37">
        <v>300155</v>
      </c>
      <c r="D4" s="7"/>
      <c r="E4" s="3"/>
      <c r="F4" s="5" t="s">
        <v>4</v>
      </c>
      <c r="G4" s="56">
        <f>J16+'6-21-22'!G4</f>
        <v>2763.5</v>
      </c>
      <c r="H4" s="34" t="s">
        <v>42</v>
      </c>
      <c r="I4" s="16">
        <v>38</v>
      </c>
      <c r="J4" s="58"/>
      <c r="K4" s="3"/>
      <c r="L4" s="3"/>
      <c r="M4" s="3"/>
      <c r="N4" s="3"/>
      <c r="O4" s="3"/>
      <c r="P4" s="3" t="s">
        <v>52</v>
      </c>
      <c r="Q4" s="61" t="s">
        <v>196</v>
      </c>
      <c r="R4" s="62">
        <v>44732</v>
      </c>
    </row>
    <row r="5" spans="1:18" ht="15.6" x14ac:dyDescent="0.3">
      <c r="A5" s="3"/>
      <c r="B5" s="5" t="s">
        <v>5</v>
      </c>
      <c r="C5" s="38">
        <v>44734</v>
      </c>
      <c r="D5" s="3"/>
      <c r="E5" s="3"/>
      <c r="F5" s="3"/>
      <c r="G5" s="59">
        <f>G4/G3</f>
        <v>0.63455797933409874</v>
      </c>
      <c r="H5" s="3"/>
      <c r="I5" s="60">
        <f>I4/I3</f>
        <v>0.77551020408163263</v>
      </c>
      <c r="J5" s="3"/>
      <c r="K5" s="3"/>
      <c r="L5" s="3"/>
      <c r="M5" s="3"/>
      <c r="N5" s="3"/>
      <c r="O5" s="3"/>
      <c r="P5" s="3"/>
      <c r="Q5" s="61"/>
      <c r="R5" s="61"/>
    </row>
    <row r="6" spans="1:18" ht="15.6" x14ac:dyDescent="0.3">
      <c r="A6" s="3"/>
      <c r="B6" s="5"/>
      <c r="C6" s="3"/>
      <c r="D6" s="3"/>
      <c r="E6" s="3"/>
      <c r="F6" s="3"/>
      <c r="G6" s="3"/>
      <c r="H6" s="3"/>
      <c r="I6" s="4"/>
      <c r="J6" s="3"/>
      <c r="K6" s="30"/>
      <c r="L6" s="3"/>
      <c r="M6" s="3"/>
      <c r="N6" s="3"/>
      <c r="O6" s="3"/>
      <c r="P6" s="3"/>
      <c r="Q6" s="61"/>
      <c r="R6" s="61"/>
    </row>
    <row r="7" spans="1:18" ht="15.6" x14ac:dyDescent="0.3">
      <c r="A7" s="10" t="s">
        <v>6</v>
      </c>
      <c r="B7" s="11"/>
      <c r="C7" s="12" t="s">
        <v>7</v>
      </c>
      <c r="D7" s="3"/>
      <c r="E7" s="12" t="s">
        <v>8</v>
      </c>
      <c r="F7" s="12" t="s">
        <v>34</v>
      </c>
      <c r="G7" s="3"/>
      <c r="H7" s="67" t="s">
        <v>7</v>
      </c>
      <c r="I7" s="67"/>
      <c r="J7" s="12" t="s">
        <v>8</v>
      </c>
      <c r="K7" s="3"/>
      <c r="L7" s="3"/>
      <c r="M7" s="3"/>
      <c r="N7" s="3"/>
      <c r="O7" s="3"/>
      <c r="P7" s="3"/>
      <c r="Q7" s="61"/>
      <c r="R7" s="61"/>
    </row>
    <row r="8" spans="1:18" ht="15.6" x14ac:dyDescent="0.3">
      <c r="A8" s="13">
        <v>1</v>
      </c>
      <c r="B8" s="5" t="s">
        <v>9</v>
      </c>
      <c r="C8" s="14" t="s">
        <v>35</v>
      </c>
      <c r="D8" s="15"/>
      <c r="E8" s="35">
        <v>9</v>
      </c>
      <c r="F8" s="16">
        <v>66</v>
      </c>
      <c r="G8" s="11">
        <v>9</v>
      </c>
      <c r="H8" s="14" t="s">
        <v>40</v>
      </c>
      <c r="I8" s="8"/>
      <c r="J8" s="35">
        <v>9</v>
      </c>
      <c r="K8" s="3"/>
      <c r="L8" s="3"/>
      <c r="M8" s="3"/>
      <c r="N8" s="3"/>
      <c r="O8" s="3"/>
      <c r="P8" s="3"/>
      <c r="Q8" s="61"/>
      <c r="R8" s="61"/>
    </row>
    <row r="9" spans="1:18" ht="15.6" x14ac:dyDescent="0.3">
      <c r="A9" s="13">
        <v>2</v>
      </c>
      <c r="B9" s="5" t="s">
        <v>10</v>
      </c>
      <c r="C9" s="14" t="s">
        <v>37</v>
      </c>
      <c r="D9" s="8"/>
      <c r="E9" s="35">
        <v>9</v>
      </c>
      <c r="F9" s="16"/>
      <c r="G9" s="11">
        <v>10</v>
      </c>
      <c r="H9" s="14"/>
      <c r="I9" s="8"/>
      <c r="J9" s="39"/>
      <c r="K9" s="3"/>
      <c r="L9" s="3"/>
      <c r="M9" s="3"/>
      <c r="N9" s="3"/>
      <c r="O9" s="3"/>
      <c r="P9" s="3"/>
      <c r="Q9" s="61"/>
      <c r="R9" s="61"/>
    </row>
    <row r="10" spans="1:18" ht="15.6" x14ac:dyDescent="0.3">
      <c r="A10" s="13">
        <v>3</v>
      </c>
      <c r="B10" s="5" t="s">
        <v>11</v>
      </c>
      <c r="C10" s="14" t="s">
        <v>36</v>
      </c>
      <c r="D10" s="8"/>
      <c r="E10" s="35">
        <v>9</v>
      </c>
      <c r="F10" s="16">
        <v>78</v>
      </c>
      <c r="G10" s="11">
        <v>11</v>
      </c>
      <c r="H10" s="3"/>
      <c r="I10" s="8"/>
      <c r="J10" s="39"/>
      <c r="K10" s="3"/>
      <c r="L10" s="3"/>
      <c r="M10" s="3"/>
      <c r="N10" s="3"/>
      <c r="O10" s="3"/>
      <c r="P10" s="3"/>
      <c r="Q10" s="61"/>
      <c r="R10" s="61"/>
    </row>
    <row r="11" spans="1:18" ht="15.6" x14ac:dyDescent="0.3">
      <c r="A11" s="13">
        <v>4</v>
      </c>
      <c r="B11" s="5" t="s">
        <v>12</v>
      </c>
      <c r="C11" s="14" t="s">
        <v>29</v>
      </c>
      <c r="D11" s="8"/>
      <c r="E11" s="35">
        <v>9</v>
      </c>
      <c r="F11" s="16"/>
      <c r="G11" s="11">
        <v>12</v>
      </c>
      <c r="H11" s="3"/>
      <c r="I11" s="8"/>
      <c r="J11" s="39"/>
      <c r="K11" s="3"/>
      <c r="L11" s="3"/>
      <c r="M11" s="3"/>
      <c r="N11" s="3"/>
      <c r="O11" s="3"/>
      <c r="P11" s="3"/>
      <c r="Q11" s="61"/>
      <c r="R11" s="61"/>
    </row>
    <row r="12" spans="1:18" ht="15.6" x14ac:dyDescent="0.3">
      <c r="A12" s="13">
        <v>5</v>
      </c>
      <c r="B12" s="3"/>
      <c r="C12" s="31" t="s">
        <v>30</v>
      </c>
      <c r="D12" s="8"/>
      <c r="E12" s="35">
        <v>9</v>
      </c>
      <c r="F12" s="16"/>
      <c r="G12" s="11">
        <v>13</v>
      </c>
      <c r="H12" s="3"/>
      <c r="I12" s="8"/>
      <c r="J12" s="39"/>
      <c r="K12" s="3"/>
      <c r="L12" s="3"/>
      <c r="M12" s="3"/>
      <c r="N12" s="3"/>
      <c r="O12" s="3"/>
      <c r="P12" s="3"/>
    </row>
    <row r="13" spans="1:18" ht="15.6" x14ac:dyDescent="0.3">
      <c r="A13" s="13">
        <v>6</v>
      </c>
      <c r="B13" s="3"/>
      <c r="C13" s="14" t="s">
        <v>31</v>
      </c>
      <c r="D13" s="8"/>
      <c r="E13" s="35">
        <v>9</v>
      </c>
      <c r="F13" s="16">
        <v>74</v>
      </c>
      <c r="G13" s="11">
        <v>14</v>
      </c>
      <c r="H13" s="18"/>
      <c r="I13" s="8"/>
      <c r="J13" s="39"/>
      <c r="K13" s="3"/>
      <c r="L13" s="3"/>
      <c r="M13" s="3"/>
      <c r="N13" s="3"/>
      <c r="O13" s="3"/>
      <c r="P13" s="3"/>
    </row>
    <row r="14" spans="1:18" ht="15.6" x14ac:dyDescent="0.3">
      <c r="A14" s="13">
        <v>7</v>
      </c>
      <c r="B14" s="5" t="s">
        <v>52</v>
      </c>
      <c r="C14" s="14" t="s">
        <v>39</v>
      </c>
      <c r="D14" s="8"/>
      <c r="E14" s="35">
        <v>9</v>
      </c>
      <c r="F14" s="16"/>
      <c r="G14" s="11">
        <v>15</v>
      </c>
      <c r="H14" s="3"/>
      <c r="I14" s="8"/>
      <c r="J14" s="39"/>
      <c r="K14" s="3"/>
      <c r="L14" s="3"/>
      <c r="M14" s="3"/>
      <c r="N14" s="3"/>
      <c r="O14" s="3"/>
      <c r="P14" s="3"/>
    </row>
    <row r="15" spans="1:18" ht="15.6" x14ac:dyDescent="0.3">
      <c r="A15" s="13">
        <v>8</v>
      </c>
      <c r="B15" s="3"/>
      <c r="C15" s="14" t="s">
        <v>38</v>
      </c>
      <c r="D15" s="8"/>
      <c r="E15" s="35">
        <v>9</v>
      </c>
      <c r="F15" s="16"/>
      <c r="G15" s="11">
        <v>16</v>
      </c>
      <c r="H15" s="3"/>
      <c r="I15" s="8"/>
      <c r="J15" s="39"/>
      <c r="K15" s="3"/>
      <c r="L15" s="3"/>
      <c r="M15" s="3"/>
      <c r="N15" s="3"/>
      <c r="O15" s="3"/>
      <c r="P15" s="3"/>
    </row>
    <row r="16" spans="1:18" ht="15.6" x14ac:dyDescent="0.3">
      <c r="A16" s="3"/>
      <c r="B16" s="3"/>
      <c r="C16" s="3"/>
      <c r="D16" s="3"/>
      <c r="E16" s="3"/>
      <c r="F16" s="3"/>
      <c r="G16" s="13"/>
      <c r="H16" s="7" t="s">
        <v>13</v>
      </c>
      <c r="I16" s="3"/>
      <c r="J16" s="8">
        <f>SUM(E8:E15)+SUM(J8:J15)</f>
        <v>81</v>
      </c>
      <c r="K16" s="3"/>
      <c r="L16" s="3"/>
      <c r="M16" s="3"/>
      <c r="N16" s="3"/>
      <c r="O16" s="3"/>
      <c r="P16" s="3"/>
    </row>
    <row r="17" spans="1:16" ht="15.6" x14ac:dyDescent="0.3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  <c r="L17" s="3"/>
      <c r="M17" s="3"/>
      <c r="N17" s="3"/>
      <c r="O17" s="3"/>
      <c r="P17" s="3"/>
    </row>
    <row r="18" spans="1:16" ht="93.6" x14ac:dyDescent="0.3">
      <c r="A18" s="19"/>
      <c r="B18" s="20" t="s">
        <v>14</v>
      </c>
      <c r="C18" s="21" t="s">
        <v>15</v>
      </c>
      <c r="D18" s="22" t="s">
        <v>16</v>
      </c>
      <c r="E18" s="22" t="s">
        <v>17</v>
      </c>
      <c r="F18" s="22" t="s">
        <v>18</v>
      </c>
      <c r="G18" s="22" t="s">
        <v>19</v>
      </c>
      <c r="H18" s="22" t="s">
        <v>18</v>
      </c>
      <c r="I18" s="22" t="s">
        <v>19</v>
      </c>
      <c r="J18" s="22" t="s">
        <v>20</v>
      </c>
      <c r="K18" s="23" t="s">
        <v>21</v>
      </c>
      <c r="L18" s="24"/>
      <c r="M18" s="23" t="s">
        <v>22</v>
      </c>
      <c r="N18" s="23" t="s">
        <v>23</v>
      </c>
      <c r="O18" s="23" t="s">
        <v>24</v>
      </c>
      <c r="P18" s="23" t="s">
        <v>25</v>
      </c>
    </row>
    <row r="19" spans="1:16" ht="15.6" x14ac:dyDescent="0.3">
      <c r="A19" s="19"/>
      <c r="B19" s="19"/>
      <c r="C19" s="24"/>
      <c r="D19" s="24"/>
      <c r="E19" s="24"/>
      <c r="F19" s="24"/>
      <c r="G19" s="24"/>
      <c r="H19" s="24"/>
      <c r="I19" s="24"/>
      <c r="J19" s="24"/>
      <c r="K19" s="25"/>
      <c r="L19" s="24"/>
      <c r="M19" s="3"/>
      <c r="N19" s="3"/>
      <c r="O19" s="3"/>
      <c r="P19" s="3"/>
    </row>
    <row r="20" spans="1:16" ht="15.6" x14ac:dyDescent="0.3">
      <c r="A20" s="3"/>
      <c r="B20" s="8" t="s">
        <v>26</v>
      </c>
      <c r="C20" s="8">
        <v>1</v>
      </c>
      <c r="D20" s="8">
        <v>1</v>
      </c>
      <c r="E20" s="8"/>
      <c r="F20" s="8"/>
      <c r="G20" s="35">
        <v>0</v>
      </c>
      <c r="H20" s="8"/>
      <c r="I20" s="16"/>
      <c r="J20" s="35">
        <f>F20*G20+H20*I20</f>
        <v>0</v>
      </c>
      <c r="K20" s="16" t="e">
        <f>E20/(J20)</f>
        <v>#DIV/0!</v>
      </c>
      <c r="L20" s="3"/>
      <c r="M20" s="26">
        <v>0</v>
      </c>
      <c r="N20" s="27">
        <f>M20/C20</f>
        <v>0</v>
      </c>
      <c r="O20" s="35">
        <f>J20+'6-21-22'!O20</f>
        <v>108</v>
      </c>
      <c r="P20" s="26">
        <f>M20/O20</f>
        <v>0</v>
      </c>
    </row>
    <row r="21" spans="1:16" ht="15.6" x14ac:dyDescent="0.3">
      <c r="A21" s="3"/>
      <c r="B21" s="3"/>
      <c r="C21" s="3"/>
      <c r="D21" s="3"/>
      <c r="E21" s="3"/>
      <c r="F21" s="3"/>
      <c r="G21" s="40"/>
      <c r="H21" s="3"/>
      <c r="I21" s="28"/>
      <c r="J21" s="40"/>
      <c r="K21" s="28"/>
      <c r="L21" s="3"/>
      <c r="M21" s="29"/>
      <c r="N21" s="3"/>
      <c r="O21" s="3"/>
      <c r="P21" s="3"/>
    </row>
    <row r="22" spans="1:16" ht="15.6" x14ac:dyDescent="0.3">
      <c r="A22" s="3"/>
      <c r="B22" s="8" t="s">
        <v>53</v>
      </c>
      <c r="C22" s="8">
        <v>125400</v>
      </c>
      <c r="D22" s="41"/>
      <c r="E22" s="41"/>
      <c r="F22" s="8"/>
      <c r="G22" s="35"/>
      <c r="H22" s="8"/>
      <c r="I22" s="16"/>
      <c r="J22" s="35">
        <f>F22*G22+H22*I22</f>
        <v>0</v>
      </c>
      <c r="K22" s="16" t="e">
        <f>E22/(J22)</f>
        <v>#DIV/0!</v>
      </c>
      <c r="L22" s="3"/>
      <c r="M22" s="26">
        <f>E22+'6-21-22'!M22</f>
        <v>125400</v>
      </c>
      <c r="N22" s="27">
        <f>M22/C22</f>
        <v>1</v>
      </c>
      <c r="O22" s="35">
        <f>J22+'6-21-22'!O22</f>
        <v>679.75</v>
      </c>
      <c r="P22" s="26">
        <f>M22/O22</f>
        <v>184.47958808385437</v>
      </c>
    </row>
    <row r="23" spans="1:16" ht="15.6" x14ac:dyDescent="0.3">
      <c r="A23" s="3"/>
      <c r="B23" s="3"/>
      <c r="C23" s="3"/>
      <c r="D23" s="3"/>
      <c r="E23" s="3"/>
      <c r="F23" s="3"/>
      <c r="G23" s="40"/>
      <c r="H23" s="3"/>
      <c r="I23" s="28"/>
      <c r="J23" s="40"/>
      <c r="K23" s="28"/>
      <c r="L23" s="3"/>
      <c r="M23" s="29"/>
      <c r="N23" s="3"/>
      <c r="O23" s="36"/>
      <c r="P23" s="29"/>
    </row>
    <row r="24" spans="1:16" ht="15.6" x14ac:dyDescent="0.3">
      <c r="A24" s="3"/>
      <c r="B24" s="8" t="s">
        <v>54</v>
      </c>
      <c r="C24" s="8">
        <v>125400</v>
      </c>
      <c r="D24" s="8"/>
      <c r="E24" s="8"/>
      <c r="F24" s="8"/>
      <c r="G24" s="35"/>
      <c r="H24" s="8"/>
      <c r="I24" s="16"/>
      <c r="J24" s="35">
        <f>F24*G24+H24*I24</f>
        <v>0</v>
      </c>
      <c r="K24" s="16" t="e">
        <f>E24/(J24)</f>
        <v>#DIV/0!</v>
      </c>
      <c r="L24" s="3"/>
      <c r="M24" s="26">
        <f>E24+'6-21-22'!M24</f>
        <v>125400</v>
      </c>
      <c r="N24" s="27">
        <f>M24/C24</f>
        <v>1</v>
      </c>
      <c r="O24" s="35">
        <f>J24+'6-21-22'!O24</f>
        <v>449.75</v>
      </c>
      <c r="P24" s="26">
        <f>M24/O24</f>
        <v>278.82156753752082</v>
      </c>
    </row>
    <row r="25" spans="1:16" ht="15.6" x14ac:dyDescent="0.3">
      <c r="A25" s="3"/>
      <c r="B25" s="3"/>
      <c r="C25" s="3"/>
      <c r="D25" s="3"/>
      <c r="E25" s="3"/>
      <c r="F25" s="3"/>
      <c r="G25" s="36"/>
      <c r="H25" s="3"/>
      <c r="I25" s="4"/>
      <c r="J25" s="36"/>
      <c r="K25" s="4"/>
      <c r="L25" s="3"/>
      <c r="M25" s="29"/>
      <c r="N25" s="3"/>
      <c r="O25" s="3"/>
      <c r="P25" s="3"/>
    </row>
    <row r="26" spans="1:16" ht="15.6" x14ac:dyDescent="0.3">
      <c r="A26" s="3"/>
      <c r="B26" s="8" t="s">
        <v>44</v>
      </c>
      <c r="C26" s="8">
        <v>3040</v>
      </c>
      <c r="D26" s="8"/>
      <c r="E26" s="8"/>
      <c r="F26" s="8">
        <v>9</v>
      </c>
      <c r="G26" s="35">
        <v>2.25</v>
      </c>
      <c r="H26" s="8"/>
      <c r="I26" s="16"/>
      <c r="J26" s="35">
        <f>F26*G26+H26*I26</f>
        <v>20.25</v>
      </c>
      <c r="K26" s="16">
        <f>E26/(J26)</f>
        <v>0</v>
      </c>
      <c r="L26" s="3"/>
      <c r="M26" s="26">
        <f>E26+'6-21-22'!M26</f>
        <v>1516</v>
      </c>
      <c r="N26" s="27">
        <f>M26/C26</f>
        <v>0.49868421052631579</v>
      </c>
      <c r="O26" s="35">
        <f>J26+'6-21-22'!O26</f>
        <v>121.25</v>
      </c>
      <c r="P26" s="26">
        <f>M26/O26</f>
        <v>12.503092783505155</v>
      </c>
    </row>
    <row r="27" spans="1:16" ht="15.6" x14ac:dyDescent="0.3">
      <c r="A27" s="3"/>
      <c r="B27" s="3"/>
      <c r="C27" s="3"/>
      <c r="D27" s="3"/>
      <c r="E27" s="3"/>
      <c r="F27" s="3"/>
      <c r="G27" s="36"/>
      <c r="H27" s="3"/>
      <c r="I27" s="4"/>
      <c r="J27" s="36"/>
      <c r="K27" s="4"/>
      <c r="L27" s="3"/>
      <c r="M27" s="29"/>
      <c r="N27" s="3"/>
      <c r="O27" s="3"/>
      <c r="P27" s="3"/>
    </row>
    <row r="28" spans="1:16" ht="15.6" x14ac:dyDescent="0.3">
      <c r="A28" s="3"/>
      <c r="B28" s="8" t="s">
        <v>45</v>
      </c>
      <c r="C28" s="8">
        <v>3040</v>
      </c>
      <c r="D28" s="8"/>
      <c r="E28" s="8"/>
      <c r="F28" s="8"/>
      <c r="G28" s="35"/>
      <c r="H28" s="8"/>
      <c r="I28" s="35"/>
      <c r="J28" s="35">
        <f>F28*G28+H28*I28</f>
        <v>0</v>
      </c>
      <c r="K28" s="16" t="e">
        <f>E28/(J28)</f>
        <v>#DIV/0!</v>
      </c>
      <c r="L28" s="3"/>
      <c r="M28" s="26">
        <f>E28+'6-21-22'!M28</f>
        <v>853</v>
      </c>
      <c r="N28" s="27">
        <f>M28/C28</f>
        <v>0.28059210526315792</v>
      </c>
      <c r="O28" s="35">
        <f>J28+'6-21-22'!O28</f>
        <v>310.75</v>
      </c>
      <c r="P28" s="26">
        <f>M28/O28</f>
        <v>2.7449718423169749</v>
      </c>
    </row>
    <row r="29" spans="1:16" ht="15.6" x14ac:dyDescent="0.3">
      <c r="A29" s="3"/>
      <c r="B29" s="3"/>
      <c r="C29" s="3"/>
      <c r="D29" s="3"/>
      <c r="E29" s="3"/>
      <c r="F29" s="3"/>
      <c r="G29" s="36"/>
      <c r="H29" s="3"/>
      <c r="I29" s="4"/>
      <c r="J29" s="36"/>
      <c r="K29" s="4"/>
      <c r="L29" s="3"/>
      <c r="M29" s="29"/>
      <c r="N29" s="3"/>
      <c r="O29" s="3"/>
      <c r="P29" s="3"/>
    </row>
    <row r="30" spans="1:16" ht="15.6" x14ac:dyDescent="0.3">
      <c r="A30" s="3"/>
      <c r="B30" s="8" t="s">
        <v>47</v>
      </c>
      <c r="C30" s="8">
        <v>125400</v>
      </c>
      <c r="D30" s="8" t="s">
        <v>192</v>
      </c>
      <c r="E30" s="8"/>
      <c r="F30" s="8">
        <v>9</v>
      </c>
      <c r="G30" s="35">
        <v>5</v>
      </c>
      <c r="H30" s="8">
        <v>9</v>
      </c>
      <c r="I30" s="35">
        <v>1.75</v>
      </c>
      <c r="J30" s="35">
        <f>F30*G30+H30*I30</f>
        <v>60.75</v>
      </c>
      <c r="K30" s="16">
        <f>E30/(J30)</f>
        <v>0</v>
      </c>
      <c r="L30" s="3"/>
      <c r="M30" s="26">
        <f>E30+'6-21-22'!M30</f>
        <v>123400</v>
      </c>
      <c r="N30" s="27">
        <f>M30/C30</f>
        <v>0.98405103668261562</v>
      </c>
      <c r="O30" s="35">
        <f>J30+'6-21-22'!O30</f>
        <v>645.5</v>
      </c>
      <c r="P30" s="26">
        <f>M30/O30</f>
        <v>191.16963594113091</v>
      </c>
    </row>
    <row r="31" spans="1:16" ht="15.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7"/>
      <c r="O31" s="3"/>
      <c r="P31" s="3"/>
    </row>
    <row r="32" spans="1:16" ht="15.6" x14ac:dyDescent="0.3">
      <c r="A32" s="3"/>
      <c r="B32" s="8" t="s">
        <v>46</v>
      </c>
      <c r="C32" s="8">
        <v>324</v>
      </c>
      <c r="D32" s="8"/>
      <c r="E32" s="8"/>
      <c r="F32" s="8"/>
      <c r="G32" s="35"/>
      <c r="H32" s="8"/>
      <c r="I32" s="16"/>
      <c r="J32" s="35">
        <f>F32*G32+H32*I32</f>
        <v>0</v>
      </c>
      <c r="K32" s="16" t="e">
        <f>E32/(J32)</f>
        <v>#DIV/0!</v>
      </c>
      <c r="L32" s="3"/>
      <c r="M32" s="26">
        <f>E32+'6-21-22'!M32</f>
        <v>0</v>
      </c>
      <c r="N32" s="27">
        <f>M32/C32</f>
        <v>0</v>
      </c>
      <c r="O32" s="35">
        <f>J32+'6-21-22'!O32</f>
        <v>0</v>
      </c>
      <c r="P32" s="26" t="e">
        <f>M32/O32</f>
        <v>#DIV/0!</v>
      </c>
    </row>
    <row r="33" spans="1:16" ht="15.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7"/>
      <c r="O33" s="3"/>
      <c r="P33" s="3"/>
    </row>
    <row r="34" spans="1:16" ht="15.6" x14ac:dyDescent="0.3">
      <c r="A34" s="3"/>
      <c r="B34" s="8" t="s">
        <v>48</v>
      </c>
      <c r="C34" s="8">
        <v>115000</v>
      </c>
      <c r="D34" s="8"/>
      <c r="E34" s="8"/>
      <c r="F34" s="8"/>
      <c r="G34" s="35"/>
      <c r="H34" s="8"/>
      <c r="I34" s="16"/>
      <c r="J34" s="35">
        <f>F34*G34+H34*I34</f>
        <v>0</v>
      </c>
      <c r="K34" s="16" t="e">
        <f>E34/(J34)</f>
        <v>#DIV/0!</v>
      </c>
      <c r="L34" s="3"/>
      <c r="M34" s="26">
        <f>E34+'6-21-22'!M34</f>
        <v>0</v>
      </c>
      <c r="N34" s="27">
        <f>M34/C34</f>
        <v>0</v>
      </c>
      <c r="O34" s="35">
        <f>J34+'6-21-22'!O34</f>
        <v>0</v>
      </c>
      <c r="P34" s="26" t="e">
        <f>M34/O34</f>
        <v>#DIV/0!</v>
      </c>
    </row>
    <row r="35" spans="1:16" ht="15.6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27"/>
      <c r="O35" s="3"/>
      <c r="P35" s="3"/>
    </row>
    <row r="36" spans="1:16" ht="15.6" x14ac:dyDescent="0.3">
      <c r="A36" s="3"/>
      <c r="B36" s="8" t="s">
        <v>49</v>
      </c>
      <c r="C36" s="8">
        <v>8</v>
      </c>
      <c r="D36" s="8"/>
      <c r="E36" s="8"/>
      <c r="F36" s="8"/>
      <c r="G36" s="35"/>
      <c r="H36" s="8"/>
      <c r="I36" s="16"/>
      <c r="J36" s="35">
        <f>F36*G36+H36*I36</f>
        <v>0</v>
      </c>
      <c r="K36" s="16" t="e">
        <f>E36/(J36)</f>
        <v>#DIV/0!</v>
      </c>
      <c r="L36" s="3"/>
      <c r="M36" s="26">
        <f>E36+'6-21-22'!M36</f>
        <v>0</v>
      </c>
      <c r="N36" s="27">
        <f>M36/C36</f>
        <v>0</v>
      </c>
      <c r="O36" s="35">
        <f>J36+'6-21-22'!O36</f>
        <v>24</v>
      </c>
      <c r="P36" s="26">
        <f>M36/O36</f>
        <v>0</v>
      </c>
    </row>
    <row r="37" spans="1:16" ht="15.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27"/>
      <c r="O37" s="3"/>
      <c r="P37" s="3"/>
    </row>
    <row r="38" spans="1:16" ht="15.6" x14ac:dyDescent="0.3">
      <c r="A38" s="3"/>
      <c r="B38" s="8" t="s">
        <v>50</v>
      </c>
      <c r="C38" s="8">
        <f>2760+480</f>
        <v>3240</v>
      </c>
      <c r="D38" s="8"/>
      <c r="E38" s="8"/>
      <c r="F38" s="8"/>
      <c r="G38" s="35"/>
      <c r="H38" s="8"/>
      <c r="I38" s="16"/>
      <c r="J38" s="35">
        <f>F38*G38+H38*I38</f>
        <v>0</v>
      </c>
      <c r="K38" s="16" t="e">
        <f>E38/(J38)</f>
        <v>#DIV/0!</v>
      </c>
      <c r="L38" s="3"/>
      <c r="M38" s="26">
        <f>E38+'6-21-22'!M38</f>
        <v>1635</v>
      </c>
      <c r="N38" s="27">
        <f>M38/C38</f>
        <v>0.50462962962962965</v>
      </c>
      <c r="O38" s="35">
        <f>J38+'6-21-22'!O38</f>
        <v>72</v>
      </c>
      <c r="P38" s="26">
        <f>M38/O38</f>
        <v>22.708333333333332</v>
      </c>
    </row>
    <row r="39" spans="1:16" ht="15.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7"/>
      <c r="O39" s="3"/>
      <c r="P39" s="3"/>
    </row>
    <row r="40" spans="1:16" ht="15.6" x14ac:dyDescent="0.3">
      <c r="A40" s="3"/>
      <c r="B40" s="8" t="s">
        <v>115</v>
      </c>
      <c r="C40" s="8">
        <v>123</v>
      </c>
      <c r="D40" s="8"/>
      <c r="E40" s="8"/>
      <c r="F40" s="8"/>
      <c r="G40" s="35"/>
      <c r="H40" s="8"/>
      <c r="I40" s="16"/>
      <c r="J40" s="35">
        <f>F40*G40+H40*I40</f>
        <v>0</v>
      </c>
      <c r="K40" s="16" t="e">
        <f>E40/(J40)</f>
        <v>#DIV/0!</v>
      </c>
      <c r="L40" s="3"/>
      <c r="M40" s="26">
        <f>E40+'6-21-22'!M40</f>
        <v>0</v>
      </c>
      <c r="N40" s="27">
        <f>M40/C40</f>
        <v>0</v>
      </c>
      <c r="O40" s="35">
        <f>J40+'6-21-22'!O40</f>
        <v>0</v>
      </c>
      <c r="P40" s="35" t="e">
        <f>M40/O40</f>
        <v>#DIV/0!</v>
      </c>
    </row>
    <row r="41" spans="1:16" ht="15.6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27"/>
      <c r="O41" s="3"/>
      <c r="P41" s="3"/>
    </row>
    <row r="42" spans="1:16" ht="15.6" x14ac:dyDescent="0.3">
      <c r="A42" s="3"/>
      <c r="B42" s="8" t="s">
        <v>113</v>
      </c>
      <c r="C42" s="8" t="s">
        <v>52</v>
      </c>
      <c r="D42" s="8"/>
      <c r="E42" s="8"/>
      <c r="F42" s="8"/>
      <c r="G42" s="35"/>
      <c r="H42" s="8"/>
      <c r="I42" s="16"/>
      <c r="J42" s="35">
        <f>F42*G42+H42*I42</f>
        <v>0</v>
      </c>
      <c r="K42" s="16" t="e">
        <f>E42/(J42)</f>
        <v>#DIV/0!</v>
      </c>
      <c r="L42" s="3"/>
      <c r="M42" s="26">
        <f>E42+'6-21-22'!M42</f>
        <v>0</v>
      </c>
      <c r="N42" s="53" t="e">
        <f>M42/C42</f>
        <v>#VALUE!</v>
      </c>
      <c r="O42" s="35">
        <f>J42+'6-21-22'!O42</f>
        <v>0</v>
      </c>
      <c r="P42" s="35" t="e">
        <f>M42/O42</f>
        <v>#DIV/0!</v>
      </c>
    </row>
    <row r="43" spans="1:16" ht="15.6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27"/>
      <c r="O43" s="3"/>
      <c r="P43" s="3"/>
    </row>
    <row r="44" spans="1:16" ht="15.6" x14ac:dyDescent="0.3">
      <c r="A44" s="3"/>
      <c r="B44" s="8" t="s">
        <v>114</v>
      </c>
      <c r="C44" s="8" t="s">
        <v>52</v>
      </c>
      <c r="D44" s="8"/>
      <c r="E44" s="8"/>
      <c r="F44" s="8"/>
      <c r="G44" s="35"/>
      <c r="H44" s="8"/>
      <c r="I44" s="16"/>
      <c r="J44" s="35">
        <f>F44*G44+H44*I44</f>
        <v>0</v>
      </c>
      <c r="K44" s="16" t="e">
        <f>E44/(J44)</f>
        <v>#DIV/0!</v>
      </c>
      <c r="L44" s="3"/>
      <c r="M44" s="26" t="e">
        <f>E44+'6-21-22'!M44</f>
        <v>#VALUE!</v>
      </c>
      <c r="N44" s="53" t="e">
        <f>M44/C44</f>
        <v>#VALUE!</v>
      </c>
      <c r="O44" s="35">
        <f>J44+'6-21-22'!O44</f>
        <v>99</v>
      </c>
      <c r="P44" s="26" t="e">
        <f>M44/O44</f>
        <v>#VALUE!</v>
      </c>
    </row>
    <row r="45" spans="1:16" ht="15.6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27"/>
      <c r="O45" s="3"/>
      <c r="P45" s="3"/>
    </row>
    <row r="46" spans="1:16" ht="15.6" x14ac:dyDescent="0.3">
      <c r="A46" s="3"/>
      <c r="B46" s="8" t="s">
        <v>75</v>
      </c>
      <c r="C46" s="8"/>
      <c r="D46" s="8"/>
      <c r="E46" s="8"/>
      <c r="F46" s="8"/>
      <c r="G46" s="35"/>
      <c r="H46" s="8"/>
      <c r="I46" s="16"/>
      <c r="J46" s="35">
        <f>F46*G46+H46*I46</f>
        <v>0</v>
      </c>
      <c r="K46" s="16" t="e">
        <f>E46/(J46)</f>
        <v>#DIV/0!</v>
      </c>
      <c r="L46" s="3"/>
      <c r="M46" s="26">
        <f>E46+'6-21-22'!M46</f>
        <v>0</v>
      </c>
      <c r="N46" s="53" t="e">
        <f>M46/C46</f>
        <v>#DIV/0!</v>
      </c>
      <c r="O46" s="35">
        <f>J46+'6-21-22'!O46</f>
        <v>253.5</v>
      </c>
      <c r="P46" s="26">
        <f>M46/O46</f>
        <v>0</v>
      </c>
    </row>
    <row r="47" spans="1:16" ht="15.6" x14ac:dyDescent="0.3">
      <c r="A47" s="3"/>
      <c r="B47" s="3" t="s">
        <v>27</v>
      </c>
      <c r="C47" s="3"/>
      <c r="D47" s="3" t="s">
        <v>52</v>
      </c>
      <c r="E47" s="3"/>
      <c r="F47" s="3"/>
      <c r="G47" s="3"/>
      <c r="H47" s="30"/>
      <c r="I47" s="4"/>
      <c r="J47" s="3">
        <f>J20+J22+J24+J26+J28+J30+J32+J34+J36+J38+J40+J42+J44+J46</f>
        <v>81</v>
      </c>
      <c r="K47" s="3"/>
      <c r="L47" s="3"/>
      <c r="M47" s="3"/>
      <c r="N47" s="3"/>
      <c r="O47" s="3">
        <f>O20+O22+O24+O26+O28+O30+O32+O34+O36+O38+O40+O42+O44+O46</f>
        <v>2763.5</v>
      </c>
      <c r="P47" s="3"/>
    </row>
    <row r="48" spans="1:16" ht="15.6" x14ac:dyDescent="0.3">
      <c r="A48" s="3"/>
      <c r="B48" s="3"/>
      <c r="C48" s="3"/>
      <c r="D48" s="3"/>
      <c r="E48" s="3"/>
      <c r="F48" s="3"/>
      <c r="G48" s="3"/>
      <c r="H48" s="3"/>
      <c r="I48" s="4"/>
      <c r="J48" s="3"/>
      <c r="K48" s="3"/>
      <c r="L48" s="3"/>
      <c r="M48" s="3"/>
      <c r="N48" s="3"/>
      <c r="O48" s="3"/>
      <c r="P48" s="3"/>
    </row>
    <row r="49" spans="1:16" ht="15.6" x14ac:dyDescent="0.3">
      <c r="A49" s="3"/>
      <c r="B49" s="3" t="s">
        <v>28</v>
      </c>
      <c r="C49" s="3" t="s">
        <v>195</v>
      </c>
      <c r="D49" s="3"/>
      <c r="E49" s="3"/>
      <c r="F49" s="3"/>
      <c r="G49" s="3"/>
      <c r="H49" s="3"/>
      <c r="I49" s="4"/>
      <c r="J49" s="3"/>
      <c r="K49" s="3"/>
      <c r="L49" s="3"/>
      <c r="M49" s="3"/>
      <c r="N49" s="3"/>
      <c r="O49" s="3"/>
      <c r="P49" s="3"/>
    </row>
    <row r="50" spans="1:16" ht="15.6" x14ac:dyDescent="0.3">
      <c r="C50" s="33"/>
    </row>
    <row r="51" spans="1:16" ht="15.6" x14ac:dyDescent="0.3">
      <c r="B51" s="3" t="s">
        <v>32</v>
      </c>
      <c r="C51" s="33" t="s">
        <v>193</v>
      </c>
    </row>
    <row r="52" spans="1:16" ht="15.6" x14ac:dyDescent="0.3">
      <c r="C52" s="33"/>
    </row>
    <row r="53" spans="1:16" ht="15.6" x14ac:dyDescent="0.3">
      <c r="B53" s="3" t="s">
        <v>33</v>
      </c>
      <c r="C53" s="3" t="s">
        <v>194</v>
      </c>
    </row>
    <row r="54" spans="1:16" ht="15.6" x14ac:dyDescent="0.3">
      <c r="C54" s="33"/>
    </row>
    <row r="55" spans="1:16" ht="15.6" x14ac:dyDescent="0.3">
      <c r="C55" s="33" t="s">
        <v>52</v>
      </c>
    </row>
    <row r="57" spans="1:16" x14ac:dyDescent="0.3">
      <c r="C57" t="s">
        <v>52</v>
      </c>
      <c r="D57" t="s">
        <v>52</v>
      </c>
    </row>
    <row r="58" spans="1:16" x14ac:dyDescent="0.3">
      <c r="C58" t="s">
        <v>52</v>
      </c>
      <c r="D58" t="s">
        <v>52</v>
      </c>
    </row>
  </sheetData>
  <mergeCells count="2">
    <mergeCell ref="A1:G1"/>
    <mergeCell ref="H7:I7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BA460-6027-49FF-847A-845201D3B5F1}">
  <dimension ref="A1:R58"/>
  <sheetViews>
    <sheetView zoomScale="85" zoomScaleNormal="85" workbookViewId="0">
      <selection activeCell="H7" sqref="H7:I7"/>
    </sheetView>
  </sheetViews>
  <sheetFormatPr defaultRowHeight="14.4" x14ac:dyDescent="0.3"/>
  <cols>
    <col min="1" max="1" width="11.33203125" customWidth="1"/>
    <col min="2" max="2" width="29.33203125" customWidth="1"/>
    <col min="3" max="3" width="22.109375" customWidth="1"/>
    <col min="4" max="4" width="14.88671875" customWidth="1"/>
    <col min="5" max="5" width="16.6640625" customWidth="1"/>
    <col min="6" max="6" width="17.44140625" customWidth="1"/>
    <col min="8" max="8" width="20.44140625" customWidth="1"/>
    <col min="13" max="13" width="10.6640625" customWidth="1"/>
    <col min="14" max="14" width="10" bestFit="1" customWidth="1"/>
    <col min="15" max="15" width="10.6640625" customWidth="1"/>
    <col min="18" max="18" width="9.6640625" bestFit="1" customWidth="1"/>
  </cols>
  <sheetData>
    <row r="1" spans="1:18" ht="18" x14ac:dyDescent="0.35">
      <c r="A1" s="66" t="s">
        <v>0</v>
      </c>
      <c r="B1" s="66"/>
      <c r="C1" s="66"/>
      <c r="D1" s="66"/>
      <c r="E1" s="66"/>
      <c r="F1" s="66"/>
      <c r="G1" s="66"/>
      <c r="H1" s="1"/>
      <c r="I1" s="2"/>
      <c r="J1" s="1"/>
      <c r="K1" s="1"/>
      <c r="L1" s="1"/>
      <c r="M1" s="1"/>
      <c r="N1" s="1"/>
      <c r="O1" s="1"/>
      <c r="P1" s="1"/>
    </row>
    <row r="2" spans="1:18" ht="15.6" x14ac:dyDescent="0.3">
      <c r="A2" s="3"/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</row>
    <row r="3" spans="1:18" ht="15.6" x14ac:dyDescent="0.3">
      <c r="A3" s="3"/>
      <c r="B3" s="5" t="s">
        <v>1</v>
      </c>
      <c r="C3" s="6" t="s">
        <v>43</v>
      </c>
      <c r="D3" s="7"/>
      <c r="E3" s="3"/>
      <c r="F3" s="5" t="s">
        <v>2</v>
      </c>
      <c r="G3" s="8">
        <v>4355</v>
      </c>
      <c r="H3" s="5" t="s">
        <v>41</v>
      </c>
      <c r="I3" s="36">
        <v>49</v>
      </c>
      <c r="J3" s="3"/>
      <c r="K3" s="3"/>
      <c r="L3" s="3"/>
      <c r="M3" s="3" t="s">
        <v>163</v>
      </c>
      <c r="N3" s="3"/>
      <c r="O3" s="3"/>
      <c r="P3" s="3">
        <v>1</v>
      </c>
      <c r="Q3" t="s">
        <v>167</v>
      </c>
      <c r="R3" s="57">
        <v>44702</v>
      </c>
    </row>
    <row r="4" spans="1:18" ht="15.6" x14ac:dyDescent="0.3">
      <c r="A4" s="3"/>
      <c r="B4" s="5" t="s">
        <v>3</v>
      </c>
      <c r="C4" s="37">
        <v>300155</v>
      </c>
      <c r="D4" s="7"/>
      <c r="E4" s="3"/>
      <c r="F4" s="5" t="s">
        <v>4</v>
      </c>
      <c r="G4" s="56">
        <f>J16+'6-20-22'!G4</f>
        <v>2682.5</v>
      </c>
      <c r="H4" s="34" t="s">
        <v>42</v>
      </c>
      <c r="I4" s="4">
        <v>37</v>
      </c>
      <c r="J4" s="58">
        <f>I4/I3</f>
        <v>0.75510204081632648</v>
      </c>
      <c r="K4" s="3"/>
      <c r="L4" s="3"/>
      <c r="M4" s="3"/>
      <c r="N4" s="3"/>
      <c r="O4" s="3"/>
      <c r="P4" s="3">
        <v>1</v>
      </c>
      <c r="Q4" t="s">
        <v>167</v>
      </c>
      <c r="R4" s="57">
        <v>44732</v>
      </c>
    </row>
    <row r="5" spans="1:18" ht="15.6" x14ac:dyDescent="0.3">
      <c r="A5" s="3"/>
      <c r="B5" s="5" t="s">
        <v>5</v>
      </c>
      <c r="C5" s="38">
        <v>44733</v>
      </c>
      <c r="D5" s="3"/>
      <c r="E5" s="3"/>
      <c r="F5" s="3"/>
      <c r="G5" s="3"/>
      <c r="H5" s="3"/>
      <c r="I5" s="4"/>
      <c r="J5" s="3"/>
      <c r="K5" s="3"/>
      <c r="L5" s="3"/>
      <c r="M5" s="3"/>
      <c r="N5" s="3"/>
      <c r="O5" s="3"/>
      <c r="P5" s="3"/>
    </row>
    <row r="6" spans="1:18" ht="15.6" x14ac:dyDescent="0.3">
      <c r="A6" s="3"/>
      <c r="B6" s="5"/>
      <c r="C6" s="3"/>
      <c r="D6" s="3"/>
      <c r="E6" s="3"/>
      <c r="F6" s="3"/>
      <c r="G6" s="3"/>
      <c r="H6" s="3"/>
      <c r="I6" s="4"/>
      <c r="J6" s="3"/>
      <c r="K6" s="30"/>
      <c r="L6" s="3"/>
      <c r="M6" s="3"/>
      <c r="N6" s="3"/>
      <c r="O6" s="3"/>
      <c r="P6" s="3"/>
    </row>
    <row r="7" spans="1:18" ht="15.6" x14ac:dyDescent="0.3">
      <c r="A7" s="10" t="s">
        <v>6</v>
      </c>
      <c r="B7" s="11"/>
      <c r="C7" s="12" t="s">
        <v>7</v>
      </c>
      <c r="D7" s="3"/>
      <c r="E7" s="12" t="s">
        <v>8</v>
      </c>
      <c r="F7" s="12" t="s">
        <v>34</v>
      </c>
      <c r="G7" s="3"/>
      <c r="H7" s="67" t="s">
        <v>7</v>
      </c>
      <c r="I7" s="67"/>
      <c r="J7" s="12" t="s">
        <v>8</v>
      </c>
      <c r="K7" s="3"/>
      <c r="L7" s="3"/>
      <c r="M7" s="3"/>
      <c r="N7" s="3"/>
      <c r="O7" s="3"/>
      <c r="P7" s="3"/>
    </row>
    <row r="8" spans="1:18" ht="15.6" x14ac:dyDescent="0.3">
      <c r="A8" s="13">
        <v>1</v>
      </c>
      <c r="B8" s="5" t="s">
        <v>9</v>
      </c>
      <c r="C8" s="14" t="s">
        <v>35</v>
      </c>
      <c r="D8" s="15"/>
      <c r="E8" s="35">
        <v>9.25</v>
      </c>
      <c r="F8" s="16">
        <v>66</v>
      </c>
      <c r="G8" s="11">
        <v>9</v>
      </c>
      <c r="H8" s="14" t="s">
        <v>40</v>
      </c>
      <c r="I8" s="8"/>
      <c r="J8" s="35">
        <v>9.25</v>
      </c>
      <c r="K8" s="3"/>
      <c r="L8" s="3"/>
      <c r="M8" s="3"/>
      <c r="N8" s="3"/>
      <c r="O8" s="3"/>
      <c r="P8" s="3"/>
    </row>
    <row r="9" spans="1:18" ht="15.6" x14ac:dyDescent="0.3">
      <c r="A9" s="13">
        <v>2</v>
      </c>
      <c r="B9" s="5" t="s">
        <v>10</v>
      </c>
      <c r="C9" s="14" t="s">
        <v>37</v>
      </c>
      <c r="D9" s="8"/>
      <c r="E9" s="35">
        <v>9.25</v>
      </c>
      <c r="F9" s="16"/>
      <c r="G9" s="11">
        <v>10</v>
      </c>
      <c r="H9" s="14"/>
      <c r="I9" s="8"/>
      <c r="J9" s="39"/>
      <c r="K9" s="3"/>
      <c r="L9" s="3"/>
      <c r="M9" s="3"/>
      <c r="N9" s="3"/>
      <c r="O9" s="3"/>
      <c r="P9" s="3"/>
    </row>
    <row r="10" spans="1:18" ht="15.6" x14ac:dyDescent="0.3">
      <c r="A10" s="13">
        <v>3</v>
      </c>
      <c r="B10" s="5" t="s">
        <v>11</v>
      </c>
      <c r="C10" s="14" t="s">
        <v>36</v>
      </c>
      <c r="D10" s="8"/>
      <c r="E10" s="35">
        <v>9.25</v>
      </c>
      <c r="F10" s="16">
        <v>78</v>
      </c>
      <c r="G10" s="11">
        <v>11</v>
      </c>
      <c r="H10" s="3"/>
      <c r="I10" s="8"/>
      <c r="J10" s="39"/>
      <c r="K10" s="3"/>
      <c r="L10" s="3"/>
      <c r="M10" s="3"/>
      <c r="N10" s="3"/>
      <c r="O10" s="3"/>
      <c r="P10" s="3"/>
    </row>
    <row r="11" spans="1:18" ht="15.6" x14ac:dyDescent="0.3">
      <c r="A11" s="13">
        <v>4</v>
      </c>
      <c r="B11" s="5" t="s">
        <v>12</v>
      </c>
      <c r="C11" s="14" t="s">
        <v>29</v>
      </c>
      <c r="D11" s="8"/>
      <c r="E11" s="35">
        <v>9.25</v>
      </c>
      <c r="F11" s="16"/>
      <c r="G11" s="11">
        <v>12</v>
      </c>
      <c r="H11" s="3"/>
      <c r="I11" s="8"/>
      <c r="J11" s="39"/>
      <c r="K11" s="3"/>
      <c r="L11" s="3"/>
      <c r="M11" s="3"/>
      <c r="N11" s="3"/>
      <c r="O11" s="3"/>
      <c r="P11" s="3"/>
    </row>
    <row r="12" spans="1:18" ht="15.6" x14ac:dyDescent="0.3">
      <c r="A12" s="13">
        <v>5</v>
      </c>
      <c r="B12" s="3"/>
      <c r="C12" s="31" t="s">
        <v>30</v>
      </c>
      <c r="D12" s="8"/>
      <c r="E12" s="35">
        <v>9.25</v>
      </c>
      <c r="F12" s="16"/>
      <c r="G12" s="11">
        <v>13</v>
      </c>
      <c r="H12" s="3"/>
      <c r="I12" s="8"/>
      <c r="J12" s="39"/>
      <c r="K12" s="3"/>
      <c r="L12" s="3"/>
      <c r="M12" s="3"/>
      <c r="N12" s="3"/>
      <c r="O12" s="3"/>
      <c r="P12" s="3"/>
    </row>
    <row r="13" spans="1:18" ht="15.6" x14ac:dyDescent="0.3">
      <c r="A13" s="13">
        <v>6</v>
      </c>
      <c r="B13" s="3"/>
      <c r="C13" s="14" t="s">
        <v>31</v>
      </c>
      <c r="D13" s="8"/>
      <c r="E13" s="35">
        <v>9.25</v>
      </c>
      <c r="F13" s="16">
        <v>74</v>
      </c>
      <c r="G13" s="11">
        <v>14</v>
      </c>
      <c r="H13" s="18"/>
      <c r="I13" s="8"/>
      <c r="J13" s="39"/>
      <c r="K13" s="3"/>
      <c r="L13" s="3"/>
      <c r="M13" s="3"/>
      <c r="N13" s="3"/>
      <c r="O13" s="3"/>
      <c r="P13" s="3"/>
    </row>
    <row r="14" spans="1:18" ht="15.6" x14ac:dyDescent="0.3">
      <c r="A14" s="13">
        <v>7</v>
      </c>
      <c r="B14" s="5" t="s">
        <v>52</v>
      </c>
      <c r="C14" s="14" t="s">
        <v>39</v>
      </c>
      <c r="D14" s="8"/>
      <c r="E14" s="35">
        <v>9.25</v>
      </c>
      <c r="F14" s="16"/>
      <c r="G14" s="11">
        <v>15</v>
      </c>
      <c r="H14" s="3"/>
      <c r="I14" s="8"/>
      <c r="J14" s="39"/>
      <c r="K14" s="3"/>
      <c r="L14" s="3"/>
      <c r="M14" s="3"/>
      <c r="N14" s="3"/>
      <c r="O14" s="3"/>
      <c r="P14" s="3"/>
    </row>
    <row r="15" spans="1:18" ht="15.6" x14ac:dyDescent="0.3">
      <c r="A15" s="13">
        <v>8</v>
      </c>
      <c r="B15" s="3"/>
      <c r="C15" s="14" t="s">
        <v>38</v>
      </c>
      <c r="D15" s="8"/>
      <c r="E15" s="35">
        <v>9.25</v>
      </c>
      <c r="F15" s="16"/>
      <c r="G15" s="11">
        <v>16</v>
      </c>
      <c r="H15" s="3"/>
      <c r="I15" s="8"/>
      <c r="J15" s="39"/>
      <c r="K15" s="3"/>
      <c r="L15" s="3"/>
      <c r="M15" s="3"/>
      <c r="N15" s="3"/>
      <c r="O15" s="3"/>
      <c r="P15" s="3"/>
    </row>
    <row r="16" spans="1:18" ht="15.6" x14ac:dyDescent="0.3">
      <c r="A16" s="3"/>
      <c r="B16" s="3"/>
      <c r="C16" s="3"/>
      <c r="D16" s="3"/>
      <c r="E16" s="3"/>
      <c r="F16" s="3"/>
      <c r="G16" s="13"/>
      <c r="H16" s="7" t="s">
        <v>13</v>
      </c>
      <c r="I16" s="3"/>
      <c r="J16" s="8">
        <f>SUM(E8:E15)+SUM(J8:J15)</f>
        <v>83.25</v>
      </c>
      <c r="K16" s="3"/>
      <c r="L16" s="3"/>
      <c r="M16" s="3"/>
      <c r="N16" s="3"/>
      <c r="O16" s="3"/>
      <c r="P16" s="3"/>
    </row>
    <row r="17" spans="1:16" ht="15.6" x14ac:dyDescent="0.3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  <c r="L17" s="3"/>
      <c r="M17" s="3"/>
      <c r="N17" s="3"/>
      <c r="O17" s="3"/>
      <c r="P17" s="3"/>
    </row>
    <row r="18" spans="1:16" ht="93.6" x14ac:dyDescent="0.3">
      <c r="A18" s="19"/>
      <c r="B18" s="20" t="s">
        <v>14</v>
      </c>
      <c r="C18" s="21" t="s">
        <v>15</v>
      </c>
      <c r="D18" s="22" t="s">
        <v>16</v>
      </c>
      <c r="E18" s="22" t="s">
        <v>17</v>
      </c>
      <c r="F18" s="22" t="s">
        <v>18</v>
      </c>
      <c r="G18" s="22" t="s">
        <v>19</v>
      </c>
      <c r="H18" s="22" t="s">
        <v>18</v>
      </c>
      <c r="I18" s="22" t="s">
        <v>19</v>
      </c>
      <c r="J18" s="22" t="s">
        <v>20</v>
      </c>
      <c r="K18" s="23" t="s">
        <v>21</v>
      </c>
      <c r="L18" s="24"/>
      <c r="M18" s="23" t="s">
        <v>22</v>
      </c>
      <c r="N18" s="23" t="s">
        <v>23</v>
      </c>
      <c r="O18" s="23" t="s">
        <v>24</v>
      </c>
      <c r="P18" s="23" t="s">
        <v>25</v>
      </c>
    </row>
    <row r="19" spans="1:16" ht="15.6" x14ac:dyDescent="0.3">
      <c r="A19" s="19"/>
      <c r="B19" s="19"/>
      <c r="C19" s="24"/>
      <c r="D19" s="24"/>
      <c r="E19" s="24"/>
      <c r="F19" s="24"/>
      <c r="G19" s="24"/>
      <c r="H19" s="24"/>
      <c r="I19" s="24"/>
      <c r="J19" s="24"/>
      <c r="K19" s="25"/>
      <c r="L19" s="24"/>
      <c r="M19" s="3"/>
      <c r="N19" s="3"/>
      <c r="O19" s="3"/>
      <c r="P19" s="3"/>
    </row>
    <row r="20" spans="1:16" ht="15.6" x14ac:dyDescent="0.3">
      <c r="A20" s="3"/>
      <c r="B20" s="8" t="s">
        <v>26</v>
      </c>
      <c r="C20" s="8">
        <v>1</v>
      </c>
      <c r="D20" s="8">
        <v>1</v>
      </c>
      <c r="E20" s="8"/>
      <c r="F20" s="8"/>
      <c r="G20" s="35">
        <v>0</v>
      </c>
      <c r="H20" s="8"/>
      <c r="I20" s="16"/>
      <c r="J20" s="35">
        <f>F20*G20+H20*I20</f>
        <v>0</v>
      </c>
      <c r="K20" s="16" t="e">
        <f>E20/(J20)</f>
        <v>#DIV/0!</v>
      </c>
      <c r="L20" s="3"/>
      <c r="M20" s="26">
        <v>0</v>
      </c>
      <c r="N20" s="27">
        <f>M20/C20</f>
        <v>0</v>
      </c>
      <c r="O20" s="35">
        <f>J20+'6-20-22'!O20</f>
        <v>108</v>
      </c>
      <c r="P20" s="26">
        <f>M20/O20</f>
        <v>0</v>
      </c>
    </row>
    <row r="21" spans="1:16" ht="15.6" x14ac:dyDescent="0.3">
      <c r="A21" s="3"/>
      <c r="B21" s="3"/>
      <c r="C21" s="3"/>
      <c r="D21" s="3"/>
      <c r="E21" s="3"/>
      <c r="F21" s="3"/>
      <c r="G21" s="40"/>
      <c r="H21" s="3"/>
      <c r="I21" s="28"/>
      <c r="J21" s="40"/>
      <c r="K21" s="28"/>
      <c r="L21" s="3"/>
      <c r="M21" s="29"/>
      <c r="N21" s="3"/>
      <c r="O21" s="3"/>
      <c r="P21" s="3"/>
    </row>
    <row r="22" spans="1:16" ht="15.6" x14ac:dyDescent="0.3">
      <c r="A22" s="3"/>
      <c r="B22" s="8" t="s">
        <v>53</v>
      </c>
      <c r="C22" s="8">
        <v>125400</v>
      </c>
      <c r="D22" s="41"/>
      <c r="E22" s="41"/>
      <c r="F22" s="8"/>
      <c r="G22" s="35"/>
      <c r="H22" s="8"/>
      <c r="I22" s="16"/>
      <c r="J22" s="35">
        <f>F22*G22+H22*I22</f>
        <v>0</v>
      </c>
      <c r="K22" s="16" t="e">
        <f>E22/(J22)</f>
        <v>#DIV/0!</v>
      </c>
      <c r="L22" s="3"/>
      <c r="M22" s="26">
        <f>E22+'6-20-22'!M22</f>
        <v>125400</v>
      </c>
      <c r="N22" s="27">
        <f>M22/C22</f>
        <v>1</v>
      </c>
      <c r="O22" s="35">
        <f>J22+'6-20-22'!O22</f>
        <v>679.75</v>
      </c>
      <c r="P22" s="26">
        <f>M22/O22</f>
        <v>184.47958808385437</v>
      </c>
    </row>
    <row r="23" spans="1:16" ht="15.6" x14ac:dyDescent="0.3">
      <c r="A23" s="3"/>
      <c r="B23" s="3"/>
      <c r="C23" s="3"/>
      <c r="D23" s="3"/>
      <c r="E23" s="3"/>
      <c r="F23" s="3"/>
      <c r="G23" s="40"/>
      <c r="H23" s="3"/>
      <c r="I23" s="28"/>
      <c r="J23" s="40"/>
      <c r="K23" s="28"/>
      <c r="L23" s="3"/>
      <c r="M23" s="29"/>
      <c r="N23" s="3"/>
      <c r="O23" s="36"/>
      <c r="P23" s="29"/>
    </row>
    <row r="24" spans="1:16" ht="15.6" x14ac:dyDescent="0.3">
      <c r="A24" s="3"/>
      <c r="B24" s="8" t="s">
        <v>54</v>
      </c>
      <c r="C24" s="8">
        <v>125400</v>
      </c>
      <c r="D24" s="8"/>
      <c r="E24" s="8"/>
      <c r="F24" s="8"/>
      <c r="G24" s="35"/>
      <c r="H24" s="8"/>
      <c r="I24" s="16"/>
      <c r="J24" s="35">
        <f>F24*G24+H24*I24</f>
        <v>0</v>
      </c>
      <c r="K24" s="16" t="e">
        <f>E24/(J24)</f>
        <v>#DIV/0!</v>
      </c>
      <c r="L24" s="3"/>
      <c r="M24" s="26">
        <f>E24+'6-20-22'!M24</f>
        <v>125400</v>
      </c>
      <c r="N24" s="27">
        <f>M24/C24</f>
        <v>1</v>
      </c>
      <c r="O24" s="35">
        <f>J24+'6-20-22'!O24</f>
        <v>449.75</v>
      </c>
      <c r="P24" s="26">
        <f>M24/O24</f>
        <v>278.82156753752082</v>
      </c>
    </row>
    <row r="25" spans="1:16" ht="15.6" x14ac:dyDescent="0.3">
      <c r="A25" s="3"/>
      <c r="B25" s="3"/>
      <c r="C25" s="3"/>
      <c r="D25" s="3"/>
      <c r="E25" s="3"/>
      <c r="F25" s="3"/>
      <c r="G25" s="36"/>
      <c r="H25" s="3"/>
      <c r="I25" s="4"/>
      <c r="J25" s="36"/>
      <c r="K25" s="4"/>
      <c r="L25" s="3"/>
      <c r="M25" s="29"/>
      <c r="N25" s="3"/>
      <c r="O25" s="3"/>
      <c r="P25" s="3"/>
    </row>
    <row r="26" spans="1:16" ht="15.6" x14ac:dyDescent="0.3">
      <c r="A26" s="3"/>
      <c r="B26" s="8" t="s">
        <v>44</v>
      </c>
      <c r="C26" s="8">
        <v>3040</v>
      </c>
      <c r="D26" s="8"/>
      <c r="E26" s="8"/>
      <c r="F26" s="8"/>
      <c r="G26" s="35"/>
      <c r="H26" s="8"/>
      <c r="I26" s="16"/>
      <c r="J26" s="35">
        <f>F26*G26+H26*I26</f>
        <v>0</v>
      </c>
      <c r="K26" s="16" t="e">
        <f>E26/(J26)</f>
        <v>#DIV/0!</v>
      </c>
      <c r="L26" s="3"/>
      <c r="M26" s="26">
        <f>E26+'6-20-22'!M26</f>
        <v>1516</v>
      </c>
      <c r="N26" s="27">
        <f>M26/C26</f>
        <v>0.49868421052631579</v>
      </c>
      <c r="O26" s="35">
        <f>J26+'6-20-22'!O26</f>
        <v>101</v>
      </c>
      <c r="P26" s="26">
        <f>M26/O26</f>
        <v>15.009900990099009</v>
      </c>
    </row>
    <row r="27" spans="1:16" ht="15.6" x14ac:dyDescent="0.3">
      <c r="A27" s="3"/>
      <c r="B27" s="3"/>
      <c r="C27" s="3"/>
      <c r="D27" s="3"/>
      <c r="E27" s="3"/>
      <c r="F27" s="3"/>
      <c r="G27" s="36"/>
      <c r="H27" s="3"/>
      <c r="I27" s="4"/>
      <c r="J27" s="36"/>
      <c r="K27" s="4"/>
      <c r="L27" s="3"/>
      <c r="M27" s="29"/>
      <c r="N27" s="3"/>
      <c r="O27" s="3"/>
      <c r="P27" s="3"/>
    </row>
    <row r="28" spans="1:16" ht="15.6" x14ac:dyDescent="0.3">
      <c r="A28" s="3"/>
      <c r="B28" s="8" t="s">
        <v>45</v>
      </c>
      <c r="C28" s="8">
        <v>3040</v>
      </c>
      <c r="D28" s="8" t="s">
        <v>187</v>
      </c>
      <c r="E28" s="8"/>
      <c r="F28" s="8">
        <v>5</v>
      </c>
      <c r="G28" s="35">
        <v>3.75</v>
      </c>
      <c r="H28" s="8">
        <v>3</v>
      </c>
      <c r="I28" s="35">
        <v>6</v>
      </c>
      <c r="J28" s="35">
        <f>F28*G28+H28*I28</f>
        <v>36.75</v>
      </c>
      <c r="K28" s="16">
        <f>E28/(J28)</f>
        <v>0</v>
      </c>
      <c r="L28" s="3"/>
      <c r="M28" s="26">
        <f>E28+'6-20-22'!M28</f>
        <v>853</v>
      </c>
      <c r="N28" s="27">
        <f>M28/C28</f>
        <v>0.28059210526315792</v>
      </c>
      <c r="O28" s="35">
        <f>J28+'6-20-22'!O28</f>
        <v>310.75</v>
      </c>
      <c r="P28" s="26">
        <f>M28/O28</f>
        <v>2.7449718423169749</v>
      </c>
    </row>
    <row r="29" spans="1:16" ht="15.6" x14ac:dyDescent="0.3">
      <c r="A29" s="3"/>
      <c r="B29" s="3"/>
      <c r="C29" s="3"/>
      <c r="D29" s="3"/>
      <c r="E29" s="3"/>
      <c r="F29" s="3"/>
      <c r="G29" s="36"/>
      <c r="H29" s="3"/>
      <c r="I29" s="4"/>
      <c r="J29" s="36"/>
      <c r="K29" s="4"/>
      <c r="L29" s="3"/>
      <c r="M29" s="29"/>
      <c r="N29" s="3"/>
      <c r="O29" s="3"/>
      <c r="P29" s="3"/>
    </row>
    <row r="30" spans="1:16" ht="15.6" x14ac:dyDescent="0.3">
      <c r="A30" s="3"/>
      <c r="B30" s="8" t="s">
        <v>47</v>
      </c>
      <c r="C30" s="8">
        <v>125400</v>
      </c>
      <c r="D30" s="8"/>
      <c r="E30" s="8"/>
      <c r="F30" s="8"/>
      <c r="G30" s="35"/>
      <c r="H30" s="8"/>
      <c r="I30" s="35"/>
      <c r="J30" s="35">
        <f>F30*G30+H30*I30</f>
        <v>0</v>
      </c>
      <c r="K30" s="16" t="e">
        <f>E30/(J30)</f>
        <v>#DIV/0!</v>
      </c>
      <c r="L30" s="3"/>
      <c r="M30" s="26">
        <f>E30+'6-20-22'!M30</f>
        <v>123400</v>
      </c>
      <c r="N30" s="27">
        <f>M30/C30</f>
        <v>0.98405103668261562</v>
      </c>
      <c r="O30" s="35">
        <f>J30+'6-20-22'!O30</f>
        <v>584.75</v>
      </c>
      <c r="P30" s="26">
        <f>M30/O30</f>
        <v>211.03035485250106</v>
      </c>
    </row>
    <row r="31" spans="1:16" ht="15.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7"/>
      <c r="O31" s="3"/>
      <c r="P31" s="3"/>
    </row>
    <row r="32" spans="1:16" ht="15.6" x14ac:dyDescent="0.3">
      <c r="A32" s="3"/>
      <c r="B32" s="8" t="s">
        <v>46</v>
      </c>
      <c r="C32" s="8">
        <v>324</v>
      </c>
      <c r="D32" s="8"/>
      <c r="E32" s="8"/>
      <c r="F32" s="8"/>
      <c r="G32" s="35"/>
      <c r="H32" s="8"/>
      <c r="I32" s="16"/>
      <c r="J32" s="35">
        <f>F32*G32+H32*I32</f>
        <v>0</v>
      </c>
      <c r="K32" s="16" t="e">
        <f>E32/(J32)</f>
        <v>#DIV/0!</v>
      </c>
      <c r="L32" s="3"/>
      <c r="M32" s="26">
        <f>E32+'6-20-22'!M32</f>
        <v>0</v>
      </c>
      <c r="N32" s="27">
        <f>M32/C32</f>
        <v>0</v>
      </c>
      <c r="O32" s="35">
        <f>J32+'6-20-22'!O32</f>
        <v>0</v>
      </c>
      <c r="P32" s="26" t="e">
        <f>M32/O32</f>
        <v>#DIV/0!</v>
      </c>
    </row>
    <row r="33" spans="1:16" ht="15.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7"/>
      <c r="O33" s="3"/>
      <c r="P33" s="3"/>
    </row>
    <row r="34" spans="1:16" ht="15.6" x14ac:dyDescent="0.3">
      <c r="A34" s="3"/>
      <c r="B34" s="8" t="s">
        <v>48</v>
      </c>
      <c r="C34" s="8">
        <v>115000</v>
      </c>
      <c r="D34" s="8"/>
      <c r="E34" s="8"/>
      <c r="F34" s="8"/>
      <c r="G34" s="35"/>
      <c r="H34" s="8"/>
      <c r="I34" s="16"/>
      <c r="J34" s="35">
        <f>F34*G34+H34*I34</f>
        <v>0</v>
      </c>
      <c r="K34" s="16" t="e">
        <f>E34/(J34)</f>
        <v>#DIV/0!</v>
      </c>
      <c r="L34" s="3"/>
      <c r="M34" s="26">
        <f>E34+'6-20-22'!M34</f>
        <v>0</v>
      </c>
      <c r="N34" s="27">
        <f>M34/C34</f>
        <v>0</v>
      </c>
      <c r="O34" s="35">
        <f>J34+'6-20-22'!O34</f>
        <v>0</v>
      </c>
      <c r="P34" s="26" t="e">
        <f>M34/O34</f>
        <v>#DIV/0!</v>
      </c>
    </row>
    <row r="35" spans="1:16" ht="15.6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27"/>
      <c r="O35" s="3"/>
      <c r="P35" s="3"/>
    </row>
    <row r="36" spans="1:16" ht="15.6" x14ac:dyDescent="0.3">
      <c r="A36" s="3"/>
      <c r="B36" s="8" t="s">
        <v>49</v>
      </c>
      <c r="C36" s="8">
        <v>8</v>
      </c>
      <c r="D36" s="8"/>
      <c r="E36" s="8"/>
      <c r="F36" s="8"/>
      <c r="G36" s="35"/>
      <c r="H36" s="8"/>
      <c r="I36" s="16"/>
      <c r="J36" s="35">
        <f>F36*G36+H36*I36</f>
        <v>0</v>
      </c>
      <c r="K36" s="16" t="e">
        <f>E36/(J36)</f>
        <v>#DIV/0!</v>
      </c>
      <c r="L36" s="3"/>
      <c r="M36" s="26">
        <f>E36+'6-20-22'!M36</f>
        <v>0</v>
      </c>
      <c r="N36" s="27">
        <f>M36/C36</f>
        <v>0</v>
      </c>
      <c r="O36" s="35">
        <f>J36+'6-20-22'!O36</f>
        <v>24</v>
      </c>
      <c r="P36" s="26">
        <f>M36/O36</f>
        <v>0</v>
      </c>
    </row>
    <row r="37" spans="1:16" ht="15.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27"/>
      <c r="O37" s="3"/>
      <c r="P37" s="3"/>
    </row>
    <row r="38" spans="1:16" ht="15.6" x14ac:dyDescent="0.3">
      <c r="A38" s="3"/>
      <c r="B38" s="8" t="s">
        <v>50</v>
      </c>
      <c r="C38" s="8">
        <f>2760+480</f>
        <v>3240</v>
      </c>
      <c r="D38" s="8"/>
      <c r="E38" s="8">
        <v>630</v>
      </c>
      <c r="F38" s="8">
        <v>3</v>
      </c>
      <c r="G38" s="35">
        <v>6.25</v>
      </c>
      <c r="H38" s="8"/>
      <c r="I38" s="16"/>
      <c r="J38" s="35">
        <f>F38*G38+H38*I38</f>
        <v>18.75</v>
      </c>
      <c r="K38" s="16">
        <f>E38/(J38)</f>
        <v>33.6</v>
      </c>
      <c r="L38" s="3"/>
      <c r="M38" s="26">
        <f>E38+'6-20-22'!M38</f>
        <v>1635</v>
      </c>
      <c r="N38" s="27">
        <f>M38/C38</f>
        <v>0.50462962962962965</v>
      </c>
      <c r="O38" s="35">
        <f>J38+'6-20-22'!O38</f>
        <v>72</v>
      </c>
      <c r="P38" s="26">
        <f>M38/O38</f>
        <v>22.708333333333332</v>
      </c>
    </row>
    <row r="39" spans="1:16" ht="15.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7"/>
      <c r="O39" s="3"/>
      <c r="P39" s="3"/>
    </row>
    <row r="40" spans="1:16" ht="15.6" x14ac:dyDescent="0.3">
      <c r="A40" s="3"/>
      <c r="B40" s="8" t="s">
        <v>115</v>
      </c>
      <c r="C40" s="8">
        <v>123</v>
      </c>
      <c r="D40" s="8"/>
      <c r="E40" s="8"/>
      <c r="F40" s="8"/>
      <c r="G40" s="35"/>
      <c r="H40" s="8"/>
      <c r="I40" s="16"/>
      <c r="J40" s="35">
        <f>F40*G40+H40*I40</f>
        <v>0</v>
      </c>
      <c r="K40" s="16" t="e">
        <f>E40/(J40)</f>
        <v>#DIV/0!</v>
      </c>
      <c r="L40" s="3"/>
      <c r="M40" s="26">
        <f>E40+'6-20-22'!M40</f>
        <v>0</v>
      </c>
      <c r="N40" s="27">
        <f>M40/C40</f>
        <v>0</v>
      </c>
      <c r="O40" s="35">
        <f>J40+'6-20-22'!O40</f>
        <v>0</v>
      </c>
      <c r="P40" s="35" t="e">
        <f>M40/O40</f>
        <v>#DIV/0!</v>
      </c>
    </row>
    <row r="41" spans="1:16" ht="15.6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27"/>
      <c r="O41" s="3"/>
      <c r="P41" s="3"/>
    </row>
    <row r="42" spans="1:16" ht="15.6" x14ac:dyDescent="0.3">
      <c r="A42" s="3"/>
      <c r="B42" s="8" t="s">
        <v>113</v>
      </c>
      <c r="C42" s="8" t="s">
        <v>52</v>
      </c>
      <c r="D42" s="8"/>
      <c r="E42" s="8"/>
      <c r="F42" s="8"/>
      <c r="G42" s="35"/>
      <c r="H42" s="8"/>
      <c r="I42" s="16"/>
      <c r="J42" s="35">
        <f>F42*G42+H42*I42</f>
        <v>0</v>
      </c>
      <c r="K42" s="16" t="e">
        <f>E42/(J42)</f>
        <v>#DIV/0!</v>
      </c>
      <c r="L42" s="3"/>
      <c r="M42" s="26">
        <f>E42+'6-20-22'!M42</f>
        <v>0</v>
      </c>
      <c r="N42" s="53" t="e">
        <f>M42/C42</f>
        <v>#VALUE!</v>
      </c>
      <c r="O42" s="35">
        <f>J42+'6-20-22'!O42</f>
        <v>0</v>
      </c>
      <c r="P42" s="35" t="e">
        <f>M42/O42</f>
        <v>#DIV/0!</v>
      </c>
    </row>
    <row r="43" spans="1:16" ht="15.6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27"/>
      <c r="O43" s="3"/>
      <c r="P43" s="3"/>
    </row>
    <row r="44" spans="1:16" ht="15.6" x14ac:dyDescent="0.3">
      <c r="A44" s="3"/>
      <c r="B44" s="8" t="s">
        <v>114</v>
      </c>
      <c r="C44" s="8" t="s">
        <v>52</v>
      </c>
      <c r="D44" s="8"/>
      <c r="E44" s="8"/>
      <c r="F44" s="8"/>
      <c r="G44" s="35"/>
      <c r="H44" s="8"/>
      <c r="I44" s="16"/>
      <c r="J44" s="35">
        <f>F44*G44+H44*I44</f>
        <v>0</v>
      </c>
      <c r="K44" s="16" t="e">
        <f>E44/(J44)</f>
        <v>#DIV/0!</v>
      </c>
      <c r="L44" s="3"/>
      <c r="M44" s="26" t="e">
        <f>E44+'6-20-22'!M44</f>
        <v>#VALUE!</v>
      </c>
      <c r="N44" s="53" t="e">
        <f>M44/C44</f>
        <v>#VALUE!</v>
      </c>
      <c r="O44" s="35">
        <f>J44+'6-20-22'!O44</f>
        <v>99</v>
      </c>
      <c r="P44" s="26" t="e">
        <f>M44/O44</f>
        <v>#VALUE!</v>
      </c>
    </row>
    <row r="45" spans="1:16" ht="15.6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27"/>
      <c r="O45" s="3"/>
      <c r="P45" s="3"/>
    </row>
    <row r="46" spans="1:16" ht="15.6" x14ac:dyDescent="0.3">
      <c r="A46" s="3"/>
      <c r="B46" s="8" t="s">
        <v>75</v>
      </c>
      <c r="C46" s="8"/>
      <c r="D46" s="8" t="s">
        <v>119</v>
      </c>
      <c r="E46" s="8"/>
      <c r="F46" s="8">
        <v>3</v>
      </c>
      <c r="G46" s="35">
        <v>9.25</v>
      </c>
      <c r="H46" s="8"/>
      <c r="I46" s="16"/>
      <c r="J46" s="35">
        <f>F46*G46+H46*I46</f>
        <v>27.75</v>
      </c>
      <c r="K46" s="16">
        <f>E46/(J46)</f>
        <v>0</v>
      </c>
      <c r="L46" s="3"/>
      <c r="M46" s="26">
        <f>E46+'6-20-22'!M46</f>
        <v>0</v>
      </c>
      <c r="N46" s="53" t="e">
        <f>M46/C46</f>
        <v>#DIV/0!</v>
      </c>
      <c r="O46" s="35">
        <f>J46+'6-20-22'!O46</f>
        <v>253.5</v>
      </c>
      <c r="P46" s="26">
        <f>M46/O46</f>
        <v>0</v>
      </c>
    </row>
    <row r="47" spans="1:16" ht="15.6" x14ac:dyDescent="0.3">
      <c r="A47" s="3"/>
      <c r="B47" s="3" t="s">
        <v>27</v>
      </c>
      <c r="C47" s="3"/>
      <c r="D47" s="3" t="s">
        <v>52</v>
      </c>
      <c r="E47" s="3"/>
      <c r="F47" s="3"/>
      <c r="G47" s="3"/>
      <c r="H47" s="30"/>
      <c r="I47" s="4"/>
      <c r="J47" s="3">
        <f>J20+J22+J24+J26+J28+J30+J32+J34+J36+J38+J40+J42+J44+J46</f>
        <v>83.25</v>
      </c>
      <c r="K47" s="3"/>
      <c r="L47" s="3"/>
      <c r="M47" s="3"/>
      <c r="N47" s="3"/>
      <c r="O47" s="3">
        <f>O20+O22+O24+O26+O28+O30+O32+O34+O36+O38+O40+O42+O44+O46</f>
        <v>2682.5</v>
      </c>
      <c r="P47" s="3"/>
    </row>
    <row r="48" spans="1:16" ht="15.6" x14ac:dyDescent="0.3">
      <c r="A48" s="3"/>
      <c r="B48" s="3"/>
      <c r="C48" s="3"/>
      <c r="D48" s="3"/>
      <c r="E48" s="3"/>
      <c r="F48" s="3"/>
      <c r="G48" s="3"/>
      <c r="H48" s="3"/>
      <c r="I48" s="4"/>
      <c r="J48" s="3"/>
      <c r="K48" s="3"/>
      <c r="L48" s="3"/>
      <c r="M48" s="3"/>
      <c r="N48" s="3"/>
      <c r="O48" s="3"/>
      <c r="P48" s="3"/>
    </row>
    <row r="49" spans="1:16" ht="15.6" x14ac:dyDescent="0.3">
      <c r="A49" s="3"/>
      <c r="B49" s="3" t="s">
        <v>28</v>
      </c>
      <c r="C49" s="3" t="s">
        <v>191</v>
      </c>
      <c r="D49" s="3"/>
      <c r="E49" s="3"/>
      <c r="F49" s="3"/>
      <c r="G49" s="3"/>
      <c r="H49" s="3"/>
      <c r="I49" s="4"/>
      <c r="J49" s="3"/>
      <c r="K49" s="3"/>
      <c r="L49" s="3"/>
      <c r="M49" s="3"/>
      <c r="N49" s="3"/>
      <c r="O49" s="3"/>
      <c r="P49" s="3"/>
    </row>
    <row r="50" spans="1:16" ht="15.6" x14ac:dyDescent="0.3">
      <c r="C50" s="33"/>
    </row>
    <row r="51" spans="1:16" ht="15.6" x14ac:dyDescent="0.3">
      <c r="B51" s="3" t="s">
        <v>32</v>
      </c>
      <c r="C51" s="33" t="s">
        <v>188</v>
      </c>
    </row>
    <row r="52" spans="1:16" ht="15.6" x14ac:dyDescent="0.3">
      <c r="C52" s="33"/>
    </row>
    <row r="53" spans="1:16" ht="15.6" x14ac:dyDescent="0.3">
      <c r="B53" s="3" t="s">
        <v>33</v>
      </c>
      <c r="C53" s="3" t="s">
        <v>189</v>
      </c>
    </row>
    <row r="54" spans="1:16" ht="15.6" x14ac:dyDescent="0.3">
      <c r="C54" s="33" t="s">
        <v>190</v>
      </c>
    </row>
    <row r="55" spans="1:16" ht="15.6" x14ac:dyDescent="0.3">
      <c r="C55" s="33" t="s">
        <v>52</v>
      </c>
    </row>
    <row r="57" spans="1:16" x14ac:dyDescent="0.3">
      <c r="C57" t="s">
        <v>52</v>
      </c>
      <c r="D57" t="s">
        <v>52</v>
      </c>
    </row>
    <row r="58" spans="1:16" x14ac:dyDescent="0.3">
      <c r="C58" t="s">
        <v>52</v>
      </c>
      <c r="D58" t="s">
        <v>52</v>
      </c>
    </row>
  </sheetData>
  <mergeCells count="2">
    <mergeCell ref="A1:G1"/>
    <mergeCell ref="H7:I7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6D743-B49A-4179-87A1-E1A1A43237F3}">
  <dimension ref="A1:R58"/>
  <sheetViews>
    <sheetView topLeftCell="C1" zoomScale="85" zoomScaleNormal="85" workbookViewId="0">
      <selection activeCell="O46" sqref="O46"/>
    </sheetView>
  </sheetViews>
  <sheetFormatPr defaultRowHeight="14.4" x14ac:dyDescent="0.3"/>
  <cols>
    <col min="1" max="1" width="11.33203125" customWidth="1"/>
    <col min="2" max="2" width="29.33203125" customWidth="1"/>
    <col min="3" max="3" width="22.109375" customWidth="1"/>
    <col min="4" max="4" width="14.88671875" customWidth="1"/>
    <col min="5" max="5" width="16.6640625" customWidth="1"/>
    <col min="6" max="6" width="17.44140625" customWidth="1"/>
    <col min="8" max="8" width="20.44140625" customWidth="1"/>
    <col min="13" max="13" width="10.6640625" customWidth="1"/>
    <col min="14" max="14" width="10" bestFit="1" customWidth="1"/>
    <col min="15" max="15" width="10.6640625" customWidth="1"/>
    <col min="18" max="18" width="9.6640625" bestFit="1" customWidth="1"/>
  </cols>
  <sheetData>
    <row r="1" spans="1:18" ht="18" x14ac:dyDescent="0.35">
      <c r="A1" s="66" t="s">
        <v>0</v>
      </c>
      <c r="B1" s="66"/>
      <c r="C1" s="66"/>
      <c r="D1" s="66"/>
      <c r="E1" s="66"/>
      <c r="F1" s="66"/>
      <c r="G1" s="66"/>
      <c r="H1" s="1"/>
      <c r="I1" s="2"/>
      <c r="J1" s="1"/>
      <c r="K1" s="1"/>
      <c r="L1" s="1"/>
      <c r="M1" s="1"/>
      <c r="N1" s="1"/>
      <c r="O1" s="1"/>
      <c r="P1" s="1"/>
    </row>
    <row r="2" spans="1:18" ht="15.6" x14ac:dyDescent="0.3">
      <c r="A2" s="3"/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</row>
    <row r="3" spans="1:18" ht="15.6" x14ac:dyDescent="0.3">
      <c r="A3" s="3"/>
      <c r="B3" s="5" t="s">
        <v>1</v>
      </c>
      <c r="C3" s="6" t="s">
        <v>43</v>
      </c>
      <c r="D3" s="7"/>
      <c r="E3" s="3"/>
      <c r="F3" s="5" t="s">
        <v>2</v>
      </c>
      <c r="G3" s="8">
        <v>4355</v>
      </c>
      <c r="H3" s="5" t="s">
        <v>41</v>
      </c>
      <c r="I3" s="36">
        <v>49</v>
      </c>
      <c r="J3" s="3"/>
      <c r="K3" s="3"/>
      <c r="L3" s="3"/>
      <c r="M3" s="3" t="s">
        <v>163</v>
      </c>
      <c r="N3" s="3"/>
      <c r="O3" s="3"/>
      <c r="P3" s="3">
        <v>1</v>
      </c>
      <c r="Q3" t="s">
        <v>167</v>
      </c>
      <c r="R3" s="57">
        <v>44702</v>
      </c>
    </row>
    <row r="4" spans="1:18" ht="15.6" x14ac:dyDescent="0.3">
      <c r="A4" s="3"/>
      <c r="B4" s="5" t="s">
        <v>3</v>
      </c>
      <c r="C4" s="37">
        <v>300155</v>
      </c>
      <c r="D4" s="7"/>
      <c r="E4" s="3"/>
      <c r="F4" s="5" t="s">
        <v>4</v>
      </c>
      <c r="G4" s="56">
        <f>J16+'6-19-22'!G4</f>
        <v>2599.25</v>
      </c>
      <c r="H4" s="34" t="s">
        <v>42</v>
      </c>
      <c r="I4" s="4">
        <v>36</v>
      </c>
      <c r="J4" s="58">
        <f>I4/I3</f>
        <v>0.73469387755102045</v>
      </c>
      <c r="K4" s="3"/>
      <c r="L4" s="3"/>
      <c r="M4" s="3"/>
      <c r="N4" s="3"/>
      <c r="O4" s="3"/>
      <c r="P4" s="3"/>
    </row>
    <row r="5" spans="1:18" ht="15.6" x14ac:dyDescent="0.3">
      <c r="A5" s="3"/>
      <c r="B5" s="5" t="s">
        <v>5</v>
      </c>
      <c r="C5" s="38">
        <v>44732</v>
      </c>
      <c r="D5" s="3"/>
      <c r="E5" s="3"/>
      <c r="F5" s="3"/>
      <c r="G5" s="3"/>
      <c r="H5" s="3"/>
      <c r="I5" s="4"/>
      <c r="J5" s="3"/>
      <c r="K5" s="3"/>
      <c r="L5" s="3"/>
      <c r="M5" s="3"/>
      <c r="N5" s="3"/>
      <c r="O5" s="3"/>
      <c r="P5" s="3"/>
    </row>
    <row r="6" spans="1:18" ht="15.6" x14ac:dyDescent="0.3">
      <c r="A6" s="3"/>
      <c r="B6" s="5"/>
      <c r="C6" s="3"/>
      <c r="D6" s="3"/>
      <c r="E6" s="3"/>
      <c r="F6" s="3"/>
      <c r="G6" s="3"/>
      <c r="H6" s="3"/>
      <c r="I6" s="4"/>
      <c r="J6" s="3"/>
      <c r="K6" s="3"/>
      <c r="L6" s="3"/>
      <c r="M6" s="3"/>
      <c r="N6" s="3"/>
      <c r="O6" s="3"/>
      <c r="P6" s="3"/>
    </row>
    <row r="7" spans="1:18" ht="15.6" x14ac:dyDescent="0.3">
      <c r="A7" s="10" t="s">
        <v>6</v>
      </c>
      <c r="B7" s="11"/>
      <c r="C7" s="12" t="s">
        <v>7</v>
      </c>
      <c r="D7" s="3"/>
      <c r="E7" s="12" t="s">
        <v>8</v>
      </c>
      <c r="F7" s="12" t="s">
        <v>34</v>
      </c>
      <c r="G7" s="3"/>
      <c r="H7" s="67" t="s">
        <v>7</v>
      </c>
      <c r="I7" s="67"/>
      <c r="J7" s="12" t="s">
        <v>8</v>
      </c>
      <c r="K7" s="3"/>
      <c r="L7" s="3"/>
      <c r="M7" s="3"/>
      <c r="N7" s="3"/>
      <c r="O7" s="3"/>
      <c r="P7" s="3"/>
    </row>
    <row r="8" spans="1:18" ht="15.6" x14ac:dyDescent="0.3">
      <c r="A8" s="13">
        <v>1</v>
      </c>
      <c r="B8" s="5" t="s">
        <v>9</v>
      </c>
      <c r="C8" s="14" t="s">
        <v>35</v>
      </c>
      <c r="D8" s="15"/>
      <c r="E8" s="35">
        <v>9</v>
      </c>
      <c r="F8" s="16">
        <v>66</v>
      </c>
      <c r="G8" s="11">
        <v>9</v>
      </c>
      <c r="H8" s="14" t="s">
        <v>40</v>
      </c>
      <c r="I8" s="8"/>
      <c r="J8" s="35">
        <v>2</v>
      </c>
      <c r="K8" s="3"/>
      <c r="L8" s="3"/>
      <c r="M8" s="3"/>
      <c r="N8" s="3"/>
      <c r="O8" s="3"/>
      <c r="P8" s="3"/>
    </row>
    <row r="9" spans="1:18" ht="15.6" x14ac:dyDescent="0.3">
      <c r="A9" s="13">
        <v>2</v>
      </c>
      <c r="B9" s="5" t="s">
        <v>10</v>
      </c>
      <c r="C9" s="14" t="s">
        <v>37</v>
      </c>
      <c r="D9" s="8"/>
      <c r="E9" s="35">
        <v>9</v>
      </c>
      <c r="F9" s="16"/>
      <c r="G9" s="11">
        <v>10</v>
      </c>
      <c r="H9" s="14"/>
      <c r="I9" s="8"/>
      <c r="J9" s="39"/>
      <c r="K9" s="3"/>
      <c r="L9" s="3"/>
      <c r="M9" s="3"/>
      <c r="N9" s="3"/>
      <c r="O9" s="3"/>
      <c r="P9" s="3"/>
    </row>
    <row r="10" spans="1:18" ht="15.6" x14ac:dyDescent="0.3">
      <c r="A10" s="13">
        <v>3</v>
      </c>
      <c r="B10" s="5" t="s">
        <v>11</v>
      </c>
      <c r="C10" s="14" t="s">
        <v>36</v>
      </c>
      <c r="D10" s="8"/>
      <c r="E10" s="35">
        <v>9</v>
      </c>
      <c r="F10" s="16">
        <v>78</v>
      </c>
      <c r="G10" s="11">
        <v>11</v>
      </c>
      <c r="H10" s="3"/>
      <c r="I10" s="8"/>
      <c r="J10" s="39"/>
      <c r="K10" s="3"/>
      <c r="L10" s="3"/>
      <c r="M10" s="3"/>
      <c r="N10" s="3"/>
      <c r="O10" s="3"/>
      <c r="P10" s="3"/>
    </row>
    <row r="11" spans="1:18" ht="15.6" x14ac:dyDescent="0.3">
      <c r="A11" s="13">
        <v>4</v>
      </c>
      <c r="B11" s="5" t="s">
        <v>12</v>
      </c>
      <c r="C11" s="14" t="s">
        <v>29</v>
      </c>
      <c r="D11" s="8"/>
      <c r="E11" s="35">
        <v>9</v>
      </c>
      <c r="F11" s="16"/>
      <c r="G11" s="11">
        <v>12</v>
      </c>
      <c r="H11" s="3"/>
      <c r="I11" s="8"/>
      <c r="J11" s="39"/>
      <c r="K11" s="3"/>
      <c r="L11" s="3"/>
      <c r="M11" s="3"/>
      <c r="N11" s="3"/>
      <c r="O11" s="3"/>
      <c r="P11" s="3"/>
    </row>
    <row r="12" spans="1:18" ht="15.6" x14ac:dyDescent="0.3">
      <c r="A12" s="13">
        <v>5</v>
      </c>
      <c r="B12" s="3"/>
      <c r="C12" s="31" t="s">
        <v>30</v>
      </c>
      <c r="D12" s="8"/>
      <c r="E12" s="35">
        <v>9</v>
      </c>
      <c r="F12" s="16"/>
      <c r="G12" s="11">
        <v>13</v>
      </c>
      <c r="H12" s="3"/>
      <c r="I12" s="8"/>
      <c r="J12" s="39"/>
      <c r="K12" s="3"/>
      <c r="L12" s="3"/>
      <c r="M12" s="3"/>
      <c r="N12" s="3"/>
      <c r="O12" s="3"/>
      <c r="P12" s="3"/>
    </row>
    <row r="13" spans="1:18" ht="15.6" x14ac:dyDescent="0.3">
      <c r="A13" s="13">
        <v>6</v>
      </c>
      <c r="B13" s="3"/>
      <c r="C13" s="14" t="s">
        <v>31</v>
      </c>
      <c r="D13" s="8"/>
      <c r="E13" s="35">
        <v>9</v>
      </c>
      <c r="F13" s="16">
        <v>74</v>
      </c>
      <c r="G13" s="11">
        <v>14</v>
      </c>
      <c r="H13" s="18"/>
      <c r="I13" s="8"/>
      <c r="J13" s="39"/>
      <c r="K13" s="3"/>
      <c r="L13" s="3"/>
      <c r="M13" s="3"/>
      <c r="N13" s="3"/>
      <c r="O13" s="3"/>
      <c r="P13" s="3"/>
    </row>
    <row r="14" spans="1:18" ht="15.6" x14ac:dyDescent="0.3">
      <c r="A14" s="13">
        <v>7</v>
      </c>
      <c r="B14" s="5" t="s">
        <v>52</v>
      </c>
      <c r="C14" s="14" t="s">
        <v>39</v>
      </c>
      <c r="D14" s="8"/>
      <c r="E14" s="35">
        <v>9</v>
      </c>
      <c r="F14" s="16"/>
      <c r="G14" s="11">
        <v>15</v>
      </c>
      <c r="H14" s="3"/>
      <c r="I14" s="8"/>
      <c r="J14" s="39"/>
      <c r="K14" s="3"/>
      <c r="L14" s="3"/>
      <c r="M14" s="3"/>
      <c r="N14" s="3"/>
      <c r="O14" s="3"/>
      <c r="P14" s="3"/>
    </row>
    <row r="15" spans="1:18" ht="15.6" x14ac:dyDescent="0.3">
      <c r="A15" s="13">
        <v>8</v>
      </c>
      <c r="B15" s="3"/>
      <c r="C15" s="14" t="s">
        <v>38</v>
      </c>
      <c r="D15" s="8"/>
      <c r="E15" s="35">
        <v>9</v>
      </c>
      <c r="F15" s="16"/>
      <c r="G15" s="11">
        <v>16</v>
      </c>
      <c r="H15" s="3"/>
      <c r="I15" s="8"/>
      <c r="J15" s="39"/>
      <c r="K15" s="3"/>
      <c r="L15" s="3"/>
      <c r="M15" s="3"/>
      <c r="N15" s="3"/>
      <c r="O15" s="3"/>
      <c r="P15" s="3"/>
    </row>
    <row r="16" spans="1:18" ht="15.6" x14ac:dyDescent="0.3">
      <c r="A16" s="3"/>
      <c r="B16" s="3"/>
      <c r="C16" s="3"/>
      <c r="D16" s="3"/>
      <c r="E16" s="3"/>
      <c r="F16" s="3"/>
      <c r="G16" s="13"/>
      <c r="H16" s="7" t="s">
        <v>13</v>
      </c>
      <c r="I16" s="3"/>
      <c r="J16" s="8">
        <f>SUM(E8:E15)+SUM(J8:J15)</f>
        <v>74</v>
      </c>
      <c r="K16" s="3"/>
      <c r="L16" s="3"/>
      <c r="M16" s="3"/>
      <c r="N16" s="3"/>
      <c r="O16" s="3"/>
      <c r="P16" s="3"/>
    </row>
    <row r="17" spans="1:16" ht="15.6" x14ac:dyDescent="0.3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  <c r="L17" s="3"/>
      <c r="M17" s="3"/>
      <c r="N17" s="3"/>
      <c r="O17" s="3"/>
      <c r="P17" s="3"/>
    </row>
    <row r="18" spans="1:16" ht="93.6" x14ac:dyDescent="0.3">
      <c r="A18" s="19"/>
      <c r="B18" s="20" t="s">
        <v>14</v>
      </c>
      <c r="C18" s="21" t="s">
        <v>15</v>
      </c>
      <c r="D18" s="22" t="s">
        <v>16</v>
      </c>
      <c r="E18" s="22" t="s">
        <v>17</v>
      </c>
      <c r="F18" s="22" t="s">
        <v>18</v>
      </c>
      <c r="G18" s="22" t="s">
        <v>19</v>
      </c>
      <c r="H18" s="22" t="s">
        <v>18</v>
      </c>
      <c r="I18" s="22" t="s">
        <v>19</v>
      </c>
      <c r="J18" s="22" t="s">
        <v>20</v>
      </c>
      <c r="K18" s="23" t="s">
        <v>21</v>
      </c>
      <c r="L18" s="24"/>
      <c r="M18" s="23" t="s">
        <v>22</v>
      </c>
      <c r="N18" s="23" t="s">
        <v>23</v>
      </c>
      <c r="O18" s="23" t="s">
        <v>24</v>
      </c>
      <c r="P18" s="23" t="s">
        <v>25</v>
      </c>
    </row>
    <row r="19" spans="1:16" ht="15.6" x14ac:dyDescent="0.3">
      <c r="A19" s="19"/>
      <c r="B19" s="19"/>
      <c r="C19" s="24"/>
      <c r="D19" s="24"/>
      <c r="E19" s="24"/>
      <c r="F19" s="24"/>
      <c r="G19" s="24"/>
      <c r="H19" s="24"/>
      <c r="I19" s="24"/>
      <c r="J19" s="24"/>
      <c r="K19" s="25"/>
      <c r="L19" s="24"/>
      <c r="M19" s="3"/>
      <c r="N19" s="3"/>
      <c r="O19" s="3"/>
      <c r="P19" s="3"/>
    </row>
    <row r="20" spans="1:16" ht="15.6" x14ac:dyDescent="0.3">
      <c r="A20" s="3"/>
      <c r="B20" s="8" t="s">
        <v>26</v>
      </c>
      <c r="C20" s="8">
        <v>1</v>
      </c>
      <c r="D20" s="8">
        <v>1</v>
      </c>
      <c r="E20" s="8"/>
      <c r="F20" s="8"/>
      <c r="G20" s="35">
        <v>0</v>
      </c>
      <c r="H20" s="8"/>
      <c r="I20" s="16"/>
      <c r="J20" s="35">
        <f>F20*G20+H20*I20</f>
        <v>0</v>
      </c>
      <c r="K20" s="16" t="e">
        <f>E20/(J20)</f>
        <v>#DIV/0!</v>
      </c>
      <c r="L20" s="3"/>
      <c r="M20" s="26">
        <v>0</v>
      </c>
      <c r="N20" s="27">
        <f>M20/C20</f>
        <v>0</v>
      </c>
      <c r="O20" s="35">
        <f>J20+'6-19-22'!O20</f>
        <v>108</v>
      </c>
      <c r="P20" s="26">
        <f>M20/O20</f>
        <v>0</v>
      </c>
    </row>
    <row r="21" spans="1:16" ht="15.6" x14ac:dyDescent="0.3">
      <c r="A21" s="3"/>
      <c r="B21" s="3"/>
      <c r="C21" s="3"/>
      <c r="D21" s="3"/>
      <c r="E21" s="3"/>
      <c r="F21" s="3"/>
      <c r="G21" s="40"/>
      <c r="H21" s="3"/>
      <c r="I21" s="28"/>
      <c r="J21" s="40"/>
      <c r="K21" s="28"/>
      <c r="L21" s="3"/>
      <c r="M21" s="29"/>
      <c r="N21" s="3"/>
      <c r="O21" s="3"/>
      <c r="P21" s="3"/>
    </row>
    <row r="22" spans="1:16" ht="15.6" x14ac:dyDescent="0.3">
      <c r="A22" s="3"/>
      <c r="B22" s="8" t="s">
        <v>53</v>
      </c>
      <c r="C22" s="8">
        <v>125400</v>
      </c>
      <c r="D22" s="41"/>
      <c r="E22" s="41"/>
      <c r="F22" s="8"/>
      <c r="G22" s="35"/>
      <c r="H22" s="8"/>
      <c r="I22" s="16"/>
      <c r="J22" s="35">
        <f>F22*G22+H22*I22</f>
        <v>0</v>
      </c>
      <c r="K22" s="16" t="e">
        <f>E22/(J22)</f>
        <v>#DIV/0!</v>
      </c>
      <c r="L22" s="3"/>
      <c r="M22" s="26">
        <f>E22+'6-19-22'!M22</f>
        <v>125400</v>
      </c>
      <c r="N22" s="27">
        <f>M22/C22</f>
        <v>1</v>
      </c>
      <c r="O22" s="35">
        <f>J22+'6-19-22'!O22</f>
        <v>679.75</v>
      </c>
      <c r="P22" s="26">
        <f>M22/O22</f>
        <v>184.47958808385437</v>
      </c>
    </row>
    <row r="23" spans="1:16" ht="15.6" x14ac:dyDescent="0.3">
      <c r="A23" s="3"/>
      <c r="B23" s="3"/>
      <c r="C23" s="3"/>
      <c r="D23" s="3"/>
      <c r="E23" s="3"/>
      <c r="F23" s="3"/>
      <c r="G23" s="40"/>
      <c r="H23" s="3"/>
      <c r="I23" s="28"/>
      <c r="J23" s="40"/>
      <c r="K23" s="28"/>
      <c r="L23" s="3"/>
      <c r="M23" s="29"/>
      <c r="N23" s="3"/>
      <c r="O23" s="36"/>
      <c r="P23" s="29"/>
    </row>
    <row r="24" spans="1:16" ht="15.6" x14ac:dyDescent="0.3">
      <c r="A24" s="3"/>
      <c r="B24" s="8" t="s">
        <v>54</v>
      </c>
      <c r="C24" s="8">
        <v>125400</v>
      </c>
      <c r="D24" s="8"/>
      <c r="E24" s="8"/>
      <c r="F24" s="8"/>
      <c r="G24" s="35"/>
      <c r="H24" s="8"/>
      <c r="I24" s="16"/>
      <c r="J24" s="35">
        <f>F24*G24+H24*I24</f>
        <v>0</v>
      </c>
      <c r="K24" s="16" t="e">
        <f>E24/(J24)</f>
        <v>#DIV/0!</v>
      </c>
      <c r="L24" s="3"/>
      <c r="M24" s="26">
        <f>E24+'6-19-22'!M24</f>
        <v>125400</v>
      </c>
      <c r="N24" s="27">
        <f>M24/C24</f>
        <v>1</v>
      </c>
      <c r="O24" s="35">
        <f>J24+'6-19-22'!O24</f>
        <v>449.75</v>
      </c>
      <c r="P24" s="26">
        <f>M24/O24</f>
        <v>278.82156753752082</v>
      </c>
    </row>
    <row r="25" spans="1:16" ht="15.6" x14ac:dyDescent="0.3">
      <c r="A25" s="3"/>
      <c r="B25" s="3"/>
      <c r="C25" s="3"/>
      <c r="D25" s="3"/>
      <c r="E25" s="3"/>
      <c r="F25" s="3"/>
      <c r="G25" s="36"/>
      <c r="H25" s="3"/>
      <c r="I25" s="4"/>
      <c r="J25" s="36"/>
      <c r="K25" s="4"/>
      <c r="L25" s="3"/>
      <c r="M25" s="29"/>
      <c r="N25" s="3"/>
      <c r="O25" s="3"/>
      <c r="P25" s="3"/>
    </row>
    <row r="26" spans="1:16" ht="15.6" x14ac:dyDescent="0.3">
      <c r="A26" s="3"/>
      <c r="B26" s="8" t="s">
        <v>44</v>
      </c>
      <c r="C26" s="8">
        <v>3040</v>
      </c>
      <c r="D26" s="8"/>
      <c r="E26" s="8"/>
      <c r="F26" s="8"/>
      <c r="G26" s="35"/>
      <c r="H26" s="8"/>
      <c r="I26" s="16"/>
      <c r="J26" s="35">
        <f>F26*G26+H26*I26</f>
        <v>0</v>
      </c>
      <c r="K26" s="16" t="e">
        <f>E26/(J26)</f>
        <v>#DIV/0!</v>
      </c>
      <c r="L26" s="3"/>
      <c r="M26" s="26">
        <f>E26+'6-19-22'!M26</f>
        <v>1516</v>
      </c>
      <c r="N26" s="27">
        <f>M26/C26</f>
        <v>0.49868421052631579</v>
      </c>
      <c r="O26" s="35">
        <f>J26+'6-19-22'!O26</f>
        <v>101</v>
      </c>
      <c r="P26" s="26">
        <f>M26/O26</f>
        <v>15.009900990099009</v>
      </c>
    </row>
    <row r="27" spans="1:16" ht="15.6" x14ac:dyDescent="0.3">
      <c r="A27" s="3"/>
      <c r="B27" s="3"/>
      <c r="C27" s="3"/>
      <c r="D27" s="3"/>
      <c r="E27" s="3"/>
      <c r="F27" s="3"/>
      <c r="G27" s="36"/>
      <c r="H27" s="3"/>
      <c r="I27" s="4"/>
      <c r="J27" s="36"/>
      <c r="K27" s="4"/>
      <c r="L27" s="3"/>
      <c r="M27" s="29"/>
      <c r="N27" s="3"/>
      <c r="O27" s="3"/>
      <c r="P27" s="3"/>
    </row>
    <row r="28" spans="1:16" ht="15.6" x14ac:dyDescent="0.3">
      <c r="A28" s="3"/>
      <c r="B28" s="8" t="s">
        <v>45</v>
      </c>
      <c r="C28" s="8">
        <v>3040</v>
      </c>
      <c r="D28" s="8" t="s">
        <v>182</v>
      </c>
      <c r="E28" s="8"/>
      <c r="F28" s="8">
        <v>8</v>
      </c>
      <c r="G28" s="35">
        <v>6</v>
      </c>
      <c r="H28" s="8"/>
      <c r="I28" s="35"/>
      <c r="J28" s="35">
        <f>F28*G28+H28*I28</f>
        <v>48</v>
      </c>
      <c r="K28" s="16">
        <f>E28/(J28)</f>
        <v>0</v>
      </c>
      <c r="L28" s="3"/>
      <c r="M28" s="26">
        <f>E28+'6-19-22'!M28</f>
        <v>853</v>
      </c>
      <c r="N28" s="27">
        <f>M28/C28</f>
        <v>0.28059210526315792</v>
      </c>
      <c r="O28" s="35">
        <f>J28+'6-19-22'!O28</f>
        <v>274</v>
      </c>
      <c r="P28" s="26">
        <f>M28/O28</f>
        <v>3.113138686131387</v>
      </c>
    </row>
    <row r="29" spans="1:16" ht="15.6" x14ac:dyDescent="0.3">
      <c r="A29" s="3"/>
      <c r="B29" s="3"/>
      <c r="C29" s="3"/>
      <c r="D29" s="3"/>
      <c r="E29" s="3"/>
      <c r="F29" s="3"/>
      <c r="G29" s="36"/>
      <c r="H29" s="3"/>
      <c r="I29" s="4"/>
      <c r="J29" s="36"/>
      <c r="K29" s="4"/>
      <c r="L29" s="3"/>
      <c r="M29" s="29"/>
      <c r="N29" s="3"/>
      <c r="O29" s="3"/>
      <c r="P29" s="3"/>
    </row>
    <row r="30" spans="1:16" ht="15.6" x14ac:dyDescent="0.3">
      <c r="A30" s="3"/>
      <c r="B30" s="8" t="s">
        <v>47</v>
      </c>
      <c r="C30" s="8">
        <v>125400</v>
      </c>
      <c r="D30" s="8"/>
      <c r="E30" s="8">
        <v>11200</v>
      </c>
      <c r="F30" s="8">
        <v>8</v>
      </c>
      <c r="G30" s="35">
        <v>3</v>
      </c>
      <c r="H30" s="8">
        <v>1</v>
      </c>
      <c r="I30" s="35">
        <v>2</v>
      </c>
      <c r="J30" s="35">
        <f>F30*G30+H30*I30</f>
        <v>26</v>
      </c>
      <c r="K30" s="16">
        <f>E30/(J30)</f>
        <v>430.76923076923077</v>
      </c>
      <c r="L30" s="3"/>
      <c r="M30" s="26">
        <f>E30+'6-19-22'!M30</f>
        <v>123400</v>
      </c>
      <c r="N30" s="27">
        <f>M30/C30</f>
        <v>0.98405103668261562</v>
      </c>
      <c r="O30" s="35">
        <f>J30+'6-19-22'!O30</f>
        <v>584.75</v>
      </c>
      <c r="P30" s="26">
        <f>M30/O30</f>
        <v>211.03035485250106</v>
      </c>
    </row>
    <row r="31" spans="1:16" ht="15.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7"/>
      <c r="O31" s="3"/>
      <c r="P31" s="3"/>
    </row>
    <row r="32" spans="1:16" ht="15.6" x14ac:dyDescent="0.3">
      <c r="A32" s="3"/>
      <c r="B32" s="8" t="s">
        <v>46</v>
      </c>
      <c r="C32" s="8">
        <v>324</v>
      </c>
      <c r="D32" s="8"/>
      <c r="E32" s="8"/>
      <c r="F32" s="8"/>
      <c r="G32" s="35"/>
      <c r="H32" s="8"/>
      <c r="I32" s="16"/>
      <c r="J32" s="35">
        <f>F32*G32+H32*I32</f>
        <v>0</v>
      </c>
      <c r="K32" s="16" t="e">
        <f>E32/(J32)</f>
        <v>#DIV/0!</v>
      </c>
      <c r="L32" s="3"/>
      <c r="M32" s="26">
        <f>E32+'6-19-22'!M32</f>
        <v>0</v>
      </c>
      <c r="N32" s="27">
        <f>M32/C32</f>
        <v>0</v>
      </c>
      <c r="O32" s="35">
        <f>J32+'6-19-22'!O32</f>
        <v>0</v>
      </c>
      <c r="P32" s="26" t="e">
        <f>M32/O32</f>
        <v>#DIV/0!</v>
      </c>
    </row>
    <row r="33" spans="1:16" ht="15.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7"/>
      <c r="O33" s="3"/>
      <c r="P33" s="3"/>
    </row>
    <row r="34" spans="1:16" ht="15.6" x14ac:dyDescent="0.3">
      <c r="A34" s="3"/>
      <c r="B34" s="8" t="s">
        <v>48</v>
      </c>
      <c r="C34" s="8">
        <v>115000</v>
      </c>
      <c r="D34" s="8"/>
      <c r="E34" s="8"/>
      <c r="F34" s="8"/>
      <c r="G34" s="35"/>
      <c r="H34" s="8"/>
      <c r="I34" s="16"/>
      <c r="J34" s="35">
        <f>F34*G34+H34*I34</f>
        <v>0</v>
      </c>
      <c r="K34" s="16" t="e">
        <f>E34/(J34)</f>
        <v>#DIV/0!</v>
      </c>
      <c r="L34" s="3"/>
      <c r="M34" s="26">
        <f>E34+'6-19-22'!M34</f>
        <v>0</v>
      </c>
      <c r="N34" s="27">
        <f>M34/C34</f>
        <v>0</v>
      </c>
      <c r="O34" s="35">
        <f>J34+'6-19-22'!O34</f>
        <v>0</v>
      </c>
      <c r="P34" s="26" t="e">
        <f>M34/O34</f>
        <v>#DIV/0!</v>
      </c>
    </row>
    <row r="35" spans="1:16" ht="15.6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27"/>
      <c r="O35" s="3"/>
      <c r="P35" s="3"/>
    </row>
    <row r="36" spans="1:16" ht="15.6" x14ac:dyDescent="0.3">
      <c r="A36" s="3"/>
      <c r="B36" s="8" t="s">
        <v>49</v>
      </c>
      <c r="C36" s="8">
        <v>8</v>
      </c>
      <c r="D36" s="8"/>
      <c r="E36" s="8"/>
      <c r="F36" s="8"/>
      <c r="G36" s="35"/>
      <c r="H36" s="8"/>
      <c r="I36" s="16"/>
      <c r="J36" s="35">
        <f>F36*G36+H36*I36</f>
        <v>0</v>
      </c>
      <c r="K36" s="16" t="e">
        <f>E36/(J36)</f>
        <v>#DIV/0!</v>
      </c>
      <c r="L36" s="3"/>
      <c r="M36" s="26">
        <f>E36+'6-19-22'!M36</f>
        <v>0</v>
      </c>
      <c r="N36" s="27">
        <f>M36/C36</f>
        <v>0</v>
      </c>
      <c r="O36" s="35">
        <f>J36+'6-19-22'!O36</f>
        <v>24</v>
      </c>
      <c r="P36" s="26">
        <f>M36/O36</f>
        <v>0</v>
      </c>
    </row>
    <row r="37" spans="1:16" ht="15.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27"/>
      <c r="O37" s="3"/>
      <c r="P37" s="3"/>
    </row>
    <row r="38" spans="1:16" ht="15.6" x14ac:dyDescent="0.3">
      <c r="A38" s="3"/>
      <c r="B38" s="8" t="s">
        <v>50</v>
      </c>
      <c r="C38" s="8">
        <f>2760+480</f>
        <v>3240</v>
      </c>
      <c r="D38" s="8"/>
      <c r="E38" s="8"/>
      <c r="F38" s="8"/>
      <c r="G38" s="35"/>
      <c r="H38" s="8"/>
      <c r="I38" s="16"/>
      <c r="J38" s="35">
        <f>F38*G38+H38*I38</f>
        <v>0</v>
      </c>
      <c r="K38" s="16" t="e">
        <f>E38/(J38)</f>
        <v>#DIV/0!</v>
      </c>
      <c r="L38" s="3"/>
      <c r="M38" s="26">
        <f>E38+'6-19-22'!M38</f>
        <v>1005</v>
      </c>
      <c r="N38" s="27">
        <f>M38/C38</f>
        <v>0.31018518518518517</v>
      </c>
      <c r="O38" s="35">
        <f>J38+'6-19-22'!O38</f>
        <v>53.25</v>
      </c>
      <c r="P38" s="26">
        <f>M38/O38</f>
        <v>18.87323943661972</v>
      </c>
    </row>
    <row r="39" spans="1:16" ht="15.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7"/>
      <c r="O39" s="3"/>
      <c r="P39" s="3"/>
    </row>
    <row r="40" spans="1:16" ht="15.6" x14ac:dyDescent="0.3">
      <c r="A40" s="3"/>
      <c r="B40" s="8" t="s">
        <v>115</v>
      </c>
      <c r="C40" s="8">
        <v>25</v>
      </c>
      <c r="D40" s="8"/>
      <c r="E40" s="8"/>
      <c r="F40" s="8"/>
      <c r="G40" s="35"/>
      <c r="H40" s="8"/>
      <c r="I40" s="16"/>
      <c r="J40" s="35">
        <f>F40*G40+H40*I40</f>
        <v>0</v>
      </c>
      <c r="K40" s="16" t="e">
        <f>E40/(J40)</f>
        <v>#DIV/0!</v>
      </c>
      <c r="L40" s="3"/>
      <c r="M40" s="26">
        <f>E40+'6-19-22'!M40</f>
        <v>0</v>
      </c>
      <c r="N40" s="27">
        <f>M40/C40</f>
        <v>0</v>
      </c>
      <c r="O40" s="35">
        <f>J40+'6-19-22'!O40</f>
        <v>0</v>
      </c>
      <c r="P40" s="26" t="e">
        <f>M40/O40</f>
        <v>#DIV/0!</v>
      </c>
    </row>
    <row r="41" spans="1:16" ht="15.6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27"/>
      <c r="O41" s="3"/>
      <c r="P41" s="3"/>
    </row>
    <row r="42" spans="1:16" ht="15.6" x14ac:dyDescent="0.3">
      <c r="A42" s="3"/>
      <c r="B42" s="8" t="s">
        <v>113</v>
      </c>
      <c r="C42" s="8" t="s">
        <v>52</v>
      </c>
      <c r="D42" s="8"/>
      <c r="E42" s="8"/>
      <c r="F42" s="8"/>
      <c r="G42" s="35"/>
      <c r="H42" s="8"/>
      <c r="I42" s="16"/>
      <c r="J42" s="35">
        <f>F42*G42+H42*I42</f>
        <v>0</v>
      </c>
      <c r="K42" s="16" t="e">
        <f>E42/(J42)</f>
        <v>#DIV/0!</v>
      </c>
      <c r="L42" s="3"/>
      <c r="M42" s="26">
        <f>E42+'6-19-22'!M42</f>
        <v>0</v>
      </c>
      <c r="N42" s="53" t="e">
        <f>M42/C42</f>
        <v>#VALUE!</v>
      </c>
      <c r="O42" s="35">
        <f>J42+'6-19-22'!O42</f>
        <v>0</v>
      </c>
      <c r="P42" s="26" t="e">
        <f>M42/O42</f>
        <v>#DIV/0!</v>
      </c>
    </row>
    <row r="43" spans="1:16" ht="15.6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27"/>
      <c r="O43" s="3"/>
      <c r="P43" s="3"/>
    </row>
    <row r="44" spans="1:16" ht="15.6" x14ac:dyDescent="0.3">
      <c r="A44" s="3"/>
      <c r="B44" s="8" t="s">
        <v>114</v>
      </c>
      <c r="C44" s="8" t="s">
        <v>52</v>
      </c>
      <c r="D44" s="8"/>
      <c r="E44" s="8"/>
      <c r="F44" s="8"/>
      <c r="G44" s="35"/>
      <c r="H44" s="8"/>
      <c r="I44" s="16"/>
      <c r="J44" s="35">
        <f>F44*G44+H44*I44</f>
        <v>0</v>
      </c>
      <c r="K44" s="16" t="e">
        <f>E44/(J44)</f>
        <v>#DIV/0!</v>
      </c>
      <c r="L44" s="3"/>
      <c r="M44" s="26" t="e">
        <f>E44+'6-19-22'!M44</f>
        <v>#VALUE!</v>
      </c>
      <c r="N44" s="53" t="e">
        <f>M44/C44</f>
        <v>#VALUE!</v>
      </c>
      <c r="O44" s="35">
        <f>J44+'6-19-22'!O44</f>
        <v>99</v>
      </c>
      <c r="P44" s="26" t="e">
        <f>M44/O44</f>
        <v>#VALUE!</v>
      </c>
    </row>
    <row r="45" spans="1:16" ht="15.6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27"/>
      <c r="O45" s="3"/>
      <c r="P45" s="3"/>
    </row>
    <row r="46" spans="1:16" ht="15.6" x14ac:dyDescent="0.3">
      <c r="A46" s="3"/>
      <c r="B46" s="8" t="s">
        <v>75</v>
      </c>
      <c r="C46" s="8"/>
      <c r="D46" s="8" t="s">
        <v>52</v>
      </c>
      <c r="E46" s="8"/>
      <c r="F46" s="8"/>
      <c r="G46" s="35"/>
      <c r="H46" s="8"/>
      <c r="I46" s="16"/>
      <c r="J46" s="35">
        <f>F46*G46+H46*I46</f>
        <v>0</v>
      </c>
      <c r="K46" s="16" t="e">
        <f>E46/(J46)</f>
        <v>#DIV/0!</v>
      </c>
      <c r="L46" s="3"/>
      <c r="M46" s="26">
        <f>E46+'6-19-22'!M46</f>
        <v>0</v>
      </c>
      <c r="N46" s="53" t="e">
        <f>M46/C46</f>
        <v>#DIV/0!</v>
      </c>
      <c r="O46" s="35">
        <f>J46+'6-19-22'!O46</f>
        <v>225.75</v>
      </c>
      <c r="P46" s="26">
        <f>M46/O46</f>
        <v>0</v>
      </c>
    </row>
    <row r="47" spans="1:16" ht="15.6" x14ac:dyDescent="0.3">
      <c r="A47" s="3"/>
      <c r="B47" s="3" t="s">
        <v>27</v>
      </c>
      <c r="C47" s="3"/>
      <c r="D47" s="3" t="s">
        <v>52</v>
      </c>
      <c r="E47" s="3"/>
      <c r="F47" s="3"/>
      <c r="G47" s="3"/>
      <c r="H47" s="30"/>
      <c r="I47" s="4"/>
      <c r="J47" s="3">
        <f>J20+J22+J24+J26+J28+J30+J32+J34+J36+J38+J40+J42+J44+J46</f>
        <v>74</v>
      </c>
      <c r="K47" s="3"/>
      <c r="L47" s="3"/>
      <c r="M47" s="3"/>
      <c r="N47" s="3"/>
      <c r="O47" s="3">
        <f>O20+O22+O24+O26+O28+O30+O32+O34+O36+O38+O40+O42+O44+O46</f>
        <v>2599.25</v>
      </c>
      <c r="P47" s="3"/>
    </row>
    <row r="48" spans="1:16" ht="15.6" x14ac:dyDescent="0.3">
      <c r="A48" s="3"/>
      <c r="B48" s="3"/>
      <c r="C48" s="3"/>
      <c r="D48" s="3"/>
      <c r="E48" s="3"/>
      <c r="F48" s="3"/>
      <c r="G48" s="3"/>
      <c r="H48" s="3"/>
      <c r="I48" s="4"/>
      <c r="J48" s="3"/>
      <c r="K48" s="3"/>
      <c r="L48" s="3"/>
      <c r="M48" s="3"/>
      <c r="N48" s="3"/>
      <c r="O48" s="3"/>
      <c r="P48" s="3"/>
    </row>
    <row r="49" spans="1:16" ht="15.6" x14ac:dyDescent="0.3">
      <c r="A49" s="3"/>
      <c r="B49" s="3" t="s">
        <v>28</v>
      </c>
      <c r="C49" s="3" t="s">
        <v>183</v>
      </c>
      <c r="D49" s="3"/>
      <c r="E49" s="3"/>
      <c r="F49" s="3"/>
      <c r="G49" s="3"/>
      <c r="H49" s="3"/>
      <c r="I49" s="4"/>
      <c r="J49" s="3"/>
      <c r="K49" s="3"/>
      <c r="L49" s="3"/>
      <c r="M49" s="3"/>
      <c r="N49" s="3"/>
      <c r="O49" s="3"/>
      <c r="P49" s="3"/>
    </row>
    <row r="50" spans="1:16" ht="15.6" x14ac:dyDescent="0.3">
      <c r="C50" s="33"/>
    </row>
    <row r="51" spans="1:16" ht="15.6" x14ac:dyDescent="0.3">
      <c r="B51" s="3" t="s">
        <v>32</v>
      </c>
      <c r="C51" s="33" t="s">
        <v>184</v>
      </c>
    </row>
    <row r="52" spans="1:16" ht="15.6" x14ac:dyDescent="0.3">
      <c r="C52" s="33"/>
    </row>
    <row r="53" spans="1:16" ht="15.6" x14ac:dyDescent="0.3">
      <c r="B53" s="3" t="s">
        <v>33</v>
      </c>
      <c r="C53" s="3" t="s">
        <v>185</v>
      </c>
    </row>
    <row r="54" spans="1:16" ht="15.6" x14ac:dyDescent="0.3">
      <c r="C54" s="33" t="s">
        <v>186</v>
      </c>
    </row>
    <row r="55" spans="1:16" ht="15.6" x14ac:dyDescent="0.3">
      <c r="C55" s="33" t="s">
        <v>52</v>
      </c>
    </row>
    <row r="57" spans="1:16" x14ac:dyDescent="0.3">
      <c r="C57" t="s">
        <v>52</v>
      </c>
      <c r="D57" t="s">
        <v>52</v>
      </c>
    </row>
    <row r="58" spans="1:16" x14ac:dyDescent="0.3">
      <c r="C58" t="s">
        <v>52</v>
      </c>
      <c r="D58" t="s">
        <v>52</v>
      </c>
    </row>
  </sheetData>
  <mergeCells count="2">
    <mergeCell ref="A1:G1"/>
    <mergeCell ref="H7:I7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43AF0-FA06-42D1-A845-835C05EF428C}">
  <dimension ref="A1:R58"/>
  <sheetViews>
    <sheetView topLeftCell="A4" zoomScale="85" zoomScaleNormal="85" workbookViewId="0">
      <selection activeCell="C6" sqref="C6"/>
    </sheetView>
  </sheetViews>
  <sheetFormatPr defaultRowHeight="14.4" x14ac:dyDescent="0.3"/>
  <cols>
    <col min="1" max="1" width="11.33203125" customWidth="1"/>
    <col min="2" max="2" width="29.33203125" customWidth="1"/>
    <col min="3" max="3" width="22.109375" customWidth="1"/>
    <col min="4" max="4" width="14.88671875" customWidth="1"/>
    <col min="5" max="5" width="16.6640625" customWidth="1"/>
    <col min="6" max="6" width="17.44140625" customWidth="1"/>
    <col min="8" max="8" width="20.44140625" customWidth="1"/>
    <col min="13" max="13" width="10.6640625" customWidth="1"/>
    <col min="14" max="14" width="10" bestFit="1" customWidth="1"/>
    <col min="15" max="15" width="10.6640625" customWidth="1"/>
    <col min="18" max="18" width="9.6640625" bestFit="1" customWidth="1"/>
  </cols>
  <sheetData>
    <row r="1" spans="1:18" ht="18" x14ac:dyDescent="0.35">
      <c r="A1" s="66" t="s">
        <v>0</v>
      </c>
      <c r="B1" s="66"/>
      <c r="C1" s="66"/>
      <c r="D1" s="66"/>
      <c r="E1" s="66"/>
      <c r="F1" s="66"/>
      <c r="G1" s="66"/>
      <c r="H1" s="1"/>
      <c r="I1" s="2"/>
      <c r="J1" s="1"/>
      <c r="K1" s="1"/>
      <c r="L1" s="1"/>
      <c r="M1" s="1"/>
      <c r="N1" s="1"/>
      <c r="O1" s="1"/>
      <c r="P1" s="1"/>
    </row>
    <row r="2" spans="1:18" ht="15.6" x14ac:dyDescent="0.3">
      <c r="A2" s="3"/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</row>
    <row r="3" spans="1:18" ht="15.6" x14ac:dyDescent="0.3">
      <c r="A3" s="3"/>
      <c r="B3" s="5" t="s">
        <v>1</v>
      </c>
      <c r="C3" s="6" t="s">
        <v>43</v>
      </c>
      <c r="D3" s="7"/>
      <c r="E3" s="3"/>
      <c r="F3" s="5" t="s">
        <v>2</v>
      </c>
      <c r="G3" s="8">
        <v>4355</v>
      </c>
      <c r="H3" s="5" t="s">
        <v>41</v>
      </c>
      <c r="I3" s="36">
        <v>49</v>
      </c>
      <c r="J3" s="3"/>
      <c r="K3" s="3"/>
      <c r="L3" s="3"/>
      <c r="M3" s="3" t="s">
        <v>163</v>
      </c>
      <c r="N3" s="3"/>
      <c r="O3" s="3"/>
      <c r="P3" s="3">
        <v>1</v>
      </c>
      <c r="Q3" t="s">
        <v>167</v>
      </c>
      <c r="R3" s="57">
        <v>44702</v>
      </c>
    </row>
    <row r="4" spans="1:18" ht="15.6" x14ac:dyDescent="0.3">
      <c r="A4" s="3"/>
      <c r="B4" s="5" t="s">
        <v>3</v>
      </c>
      <c r="C4" s="37">
        <v>300155</v>
      </c>
      <c r="D4" s="7"/>
      <c r="E4" s="3"/>
      <c r="F4" s="5" t="s">
        <v>4</v>
      </c>
      <c r="G4" s="56">
        <f>J16+'6-18-22'!G4</f>
        <v>2525.25</v>
      </c>
      <c r="H4" s="34" t="s">
        <v>42</v>
      </c>
      <c r="I4" s="4">
        <v>35</v>
      </c>
      <c r="J4" s="58">
        <f>I4/I3</f>
        <v>0.7142857142857143</v>
      </c>
      <c r="K4" s="3"/>
      <c r="L4" s="3"/>
      <c r="M4" s="3"/>
      <c r="N4" s="3"/>
      <c r="O4" s="3"/>
      <c r="P4" s="3"/>
    </row>
    <row r="5" spans="1:18" ht="15.6" x14ac:dyDescent="0.3">
      <c r="A5" s="3"/>
      <c r="B5" s="5" t="s">
        <v>5</v>
      </c>
      <c r="C5" s="38">
        <v>44731</v>
      </c>
      <c r="D5" s="3"/>
      <c r="E5" s="3"/>
      <c r="F5" s="3"/>
      <c r="G5" s="3"/>
      <c r="H5" s="3"/>
      <c r="I5" s="4"/>
      <c r="J5" s="3"/>
      <c r="K5" s="3"/>
      <c r="L5" s="3"/>
      <c r="M5" s="3"/>
      <c r="N5" s="3"/>
      <c r="O5" s="3"/>
      <c r="P5" s="3"/>
    </row>
    <row r="6" spans="1:18" ht="15.6" x14ac:dyDescent="0.3">
      <c r="A6" s="3"/>
      <c r="B6" s="5"/>
      <c r="C6" s="3"/>
      <c r="D6" s="3"/>
      <c r="E6" s="3"/>
      <c r="F6" s="3"/>
      <c r="G6" s="3"/>
      <c r="H6" s="3"/>
      <c r="I6" s="4"/>
      <c r="J6" s="3"/>
      <c r="K6" s="3"/>
      <c r="L6" s="3"/>
      <c r="M6" s="3"/>
      <c r="N6" s="3"/>
      <c r="O6" s="3"/>
      <c r="P6" s="3"/>
    </row>
    <row r="7" spans="1:18" ht="15.6" x14ac:dyDescent="0.3">
      <c r="A7" s="10" t="s">
        <v>6</v>
      </c>
      <c r="B7" s="11"/>
      <c r="C7" s="12" t="s">
        <v>7</v>
      </c>
      <c r="D7" s="3"/>
      <c r="E7" s="12" t="s">
        <v>8</v>
      </c>
      <c r="F7" s="12" t="s">
        <v>34</v>
      </c>
      <c r="G7" s="3"/>
      <c r="H7" s="67" t="s">
        <v>7</v>
      </c>
      <c r="I7" s="67"/>
      <c r="J7" s="12" t="s">
        <v>8</v>
      </c>
      <c r="K7" s="3"/>
      <c r="L7" s="3"/>
      <c r="M7" s="3"/>
      <c r="N7" s="3"/>
      <c r="O7" s="3"/>
      <c r="P7" s="3"/>
    </row>
    <row r="8" spans="1:18" ht="15.6" x14ac:dyDescent="0.3">
      <c r="A8" s="13">
        <v>1</v>
      </c>
      <c r="B8" s="5" t="s">
        <v>9</v>
      </c>
      <c r="C8" s="14" t="s">
        <v>35</v>
      </c>
      <c r="D8" s="15"/>
      <c r="E8" s="35"/>
      <c r="F8" s="16">
        <v>66</v>
      </c>
      <c r="G8" s="11">
        <v>9</v>
      </c>
      <c r="H8" s="14" t="s">
        <v>40</v>
      </c>
      <c r="I8" s="8"/>
      <c r="J8" s="35"/>
      <c r="K8" s="3"/>
      <c r="L8" s="3"/>
      <c r="M8" s="3"/>
      <c r="N8" s="3"/>
      <c r="O8" s="3"/>
      <c r="P8" s="3"/>
    </row>
    <row r="9" spans="1:18" ht="15.6" x14ac:dyDescent="0.3">
      <c r="A9" s="13">
        <v>2</v>
      </c>
      <c r="B9" s="5" t="s">
        <v>10</v>
      </c>
      <c r="C9" s="14" t="s">
        <v>37</v>
      </c>
      <c r="D9" s="8"/>
      <c r="E9" s="35"/>
      <c r="F9" s="16"/>
      <c r="G9" s="11">
        <v>10</v>
      </c>
      <c r="H9" s="14"/>
      <c r="I9" s="8"/>
      <c r="J9" s="39"/>
      <c r="K9" s="3"/>
      <c r="L9" s="3"/>
      <c r="M9" s="3"/>
      <c r="N9" s="3"/>
      <c r="O9" s="3"/>
      <c r="P9" s="3"/>
    </row>
    <row r="10" spans="1:18" ht="15.6" x14ac:dyDescent="0.3">
      <c r="A10" s="13">
        <v>3</v>
      </c>
      <c r="B10" s="5" t="s">
        <v>11</v>
      </c>
      <c r="C10" s="14" t="s">
        <v>36</v>
      </c>
      <c r="D10" s="8"/>
      <c r="E10" s="35"/>
      <c r="F10" s="16">
        <v>78</v>
      </c>
      <c r="G10" s="11">
        <v>11</v>
      </c>
      <c r="H10" s="3"/>
      <c r="I10" s="8"/>
      <c r="J10" s="39"/>
      <c r="K10" s="3"/>
      <c r="L10" s="3"/>
      <c r="M10" s="3"/>
      <c r="N10" s="3"/>
      <c r="O10" s="3"/>
      <c r="P10" s="3"/>
    </row>
    <row r="11" spans="1:18" ht="15.6" x14ac:dyDescent="0.3">
      <c r="A11" s="13">
        <v>4</v>
      </c>
      <c r="B11" s="5" t="s">
        <v>12</v>
      </c>
      <c r="C11" s="14" t="s">
        <v>29</v>
      </c>
      <c r="D11" s="8"/>
      <c r="E11" s="35"/>
      <c r="F11" s="16"/>
      <c r="G11" s="11">
        <v>12</v>
      </c>
      <c r="H11" s="3"/>
      <c r="I11" s="8"/>
      <c r="J11" s="39"/>
      <c r="K11" s="3"/>
      <c r="L11" s="3"/>
      <c r="M11" s="3"/>
      <c r="N11" s="3"/>
      <c r="O11" s="3"/>
      <c r="P11" s="3"/>
    </row>
    <row r="12" spans="1:18" ht="15.6" x14ac:dyDescent="0.3">
      <c r="A12" s="13">
        <v>5</v>
      </c>
      <c r="B12" s="3"/>
      <c r="C12" s="31" t="s">
        <v>30</v>
      </c>
      <c r="D12" s="8"/>
      <c r="E12" s="35"/>
      <c r="F12" s="16"/>
      <c r="G12" s="11">
        <v>13</v>
      </c>
      <c r="H12" s="3"/>
      <c r="I12" s="8"/>
      <c r="J12" s="39"/>
      <c r="K12" s="3"/>
      <c r="L12" s="3"/>
      <c r="M12" s="3"/>
      <c r="N12" s="3"/>
      <c r="O12" s="3"/>
      <c r="P12" s="3"/>
    </row>
    <row r="13" spans="1:18" ht="15.6" x14ac:dyDescent="0.3">
      <c r="A13" s="13">
        <v>6</v>
      </c>
      <c r="B13" s="3"/>
      <c r="C13" s="14" t="s">
        <v>31</v>
      </c>
      <c r="D13" s="8"/>
      <c r="E13" s="35"/>
      <c r="F13" s="16">
        <v>74</v>
      </c>
      <c r="G13" s="11">
        <v>14</v>
      </c>
      <c r="H13" s="18"/>
      <c r="I13" s="8"/>
      <c r="J13" s="39"/>
      <c r="K13" s="3"/>
      <c r="L13" s="3"/>
      <c r="M13" s="3"/>
      <c r="N13" s="3"/>
      <c r="O13" s="3"/>
      <c r="P13" s="3"/>
    </row>
    <row r="14" spans="1:18" ht="15.6" x14ac:dyDescent="0.3">
      <c r="A14" s="13">
        <v>7</v>
      </c>
      <c r="B14" s="5" t="s">
        <v>52</v>
      </c>
      <c r="C14" s="14" t="s">
        <v>39</v>
      </c>
      <c r="D14" s="8"/>
      <c r="E14" s="35"/>
      <c r="F14" s="16"/>
      <c r="G14" s="11">
        <v>15</v>
      </c>
      <c r="H14" s="3"/>
      <c r="I14" s="8"/>
      <c r="J14" s="39"/>
      <c r="K14" s="3"/>
      <c r="L14" s="3"/>
      <c r="M14" s="3"/>
      <c r="N14" s="3"/>
      <c r="O14" s="3"/>
      <c r="P14" s="3"/>
    </row>
    <row r="15" spans="1:18" ht="15.6" x14ac:dyDescent="0.3">
      <c r="A15" s="13">
        <v>8</v>
      </c>
      <c r="B15" s="3"/>
      <c r="C15" s="14" t="s">
        <v>38</v>
      </c>
      <c r="D15" s="8"/>
      <c r="E15" s="35"/>
      <c r="F15" s="16"/>
      <c r="G15" s="11">
        <v>16</v>
      </c>
      <c r="H15" s="3"/>
      <c r="I15" s="8"/>
      <c r="J15" s="39"/>
      <c r="K15" s="3"/>
      <c r="L15" s="3"/>
      <c r="M15" s="3"/>
      <c r="N15" s="3"/>
      <c r="O15" s="3"/>
      <c r="P15" s="3"/>
    </row>
    <row r="16" spans="1:18" ht="15.6" x14ac:dyDescent="0.3">
      <c r="A16" s="3"/>
      <c r="B16" s="3"/>
      <c r="C16" s="3"/>
      <c r="D16" s="3"/>
      <c r="E16" s="3"/>
      <c r="F16" s="3"/>
      <c r="G16" s="13"/>
      <c r="H16" s="7" t="s">
        <v>13</v>
      </c>
      <c r="I16" s="3"/>
      <c r="J16" s="8">
        <f>SUM(E8:E15)+SUM(J8:J15)</f>
        <v>0</v>
      </c>
      <c r="K16" s="3"/>
      <c r="L16" s="3"/>
      <c r="M16" s="3"/>
      <c r="N16" s="3"/>
      <c r="O16" s="3"/>
      <c r="P16" s="3"/>
    </row>
    <row r="17" spans="1:16" ht="15.6" x14ac:dyDescent="0.3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  <c r="L17" s="3"/>
      <c r="M17" s="3"/>
      <c r="N17" s="3"/>
      <c r="O17" s="3"/>
      <c r="P17" s="3"/>
    </row>
    <row r="18" spans="1:16" ht="93.6" x14ac:dyDescent="0.3">
      <c r="A18" s="19"/>
      <c r="B18" s="20" t="s">
        <v>14</v>
      </c>
      <c r="C18" s="21" t="s">
        <v>15</v>
      </c>
      <c r="D18" s="22" t="s">
        <v>16</v>
      </c>
      <c r="E18" s="22" t="s">
        <v>17</v>
      </c>
      <c r="F18" s="22" t="s">
        <v>18</v>
      </c>
      <c r="G18" s="22" t="s">
        <v>19</v>
      </c>
      <c r="H18" s="22" t="s">
        <v>18</v>
      </c>
      <c r="I18" s="22" t="s">
        <v>19</v>
      </c>
      <c r="J18" s="22" t="s">
        <v>20</v>
      </c>
      <c r="K18" s="23" t="s">
        <v>21</v>
      </c>
      <c r="L18" s="24"/>
      <c r="M18" s="23" t="s">
        <v>22</v>
      </c>
      <c r="N18" s="23" t="s">
        <v>23</v>
      </c>
      <c r="O18" s="23" t="s">
        <v>24</v>
      </c>
      <c r="P18" s="23" t="s">
        <v>25</v>
      </c>
    </row>
    <row r="19" spans="1:16" ht="15.6" x14ac:dyDescent="0.3">
      <c r="A19" s="19"/>
      <c r="B19" s="19"/>
      <c r="C19" s="24"/>
      <c r="D19" s="24"/>
      <c r="E19" s="24"/>
      <c r="F19" s="24"/>
      <c r="G19" s="24"/>
      <c r="H19" s="24"/>
      <c r="I19" s="24"/>
      <c r="J19" s="24"/>
      <c r="K19" s="25"/>
      <c r="L19" s="24"/>
      <c r="M19" s="3"/>
      <c r="N19" s="3"/>
      <c r="O19" s="3"/>
      <c r="P19" s="3"/>
    </row>
    <row r="20" spans="1:16" ht="15.6" x14ac:dyDescent="0.3">
      <c r="A20" s="3"/>
      <c r="B20" s="8" t="s">
        <v>26</v>
      </c>
      <c r="C20" s="8">
        <v>1</v>
      </c>
      <c r="D20" s="8">
        <v>1</v>
      </c>
      <c r="E20" s="8"/>
      <c r="F20" s="8"/>
      <c r="G20" s="35">
        <v>0</v>
      </c>
      <c r="H20" s="8"/>
      <c r="I20" s="16"/>
      <c r="J20" s="35">
        <f>F20*G20+H20*I20</f>
        <v>0</v>
      </c>
      <c r="K20" s="16" t="e">
        <f>E20/(J20)</f>
        <v>#DIV/0!</v>
      </c>
      <c r="L20" s="3"/>
      <c r="M20" s="26">
        <v>0</v>
      </c>
      <c r="N20" s="27">
        <f>M20/C20</f>
        <v>0</v>
      </c>
      <c r="O20" s="35">
        <f>J20+'6-18-22'!O20</f>
        <v>108</v>
      </c>
      <c r="P20" s="26">
        <f>M20/O20</f>
        <v>0</v>
      </c>
    </row>
    <row r="21" spans="1:16" ht="15.6" x14ac:dyDescent="0.3">
      <c r="A21" s="3"/>
      <c r="B21" s="3"/>
      <c r="C21" s="3"/>
      <c r="D21" s="3"/>
      <c r="E21" s="3"/>
      <c r="F21" s="3"/>
      <c r="G21" s="40"/>
      <c r="H21" s="3"/>
      <c r="I21" s="28"/>
      <c r="J21" s="40"/>
      <c r="K21" s="28"/>
      <c r="L21" s="3"/>
      <c r="M21" s="29"/>
      <c r="N21" s="3"/>
      <c r="O21" s="3"/>
      <c r="P21" s="3"/>
    </row>
    <row r="22" spans="1:16" ht="15.6" x14ac:dyDescent="0.3">
      <c r="A22" s="3"/>
      <c r="B22" s="8" t="s">
        <v>53</v>
      </c>
      <c r="C22" s="8">
        <v>125400</v>
      </c>
      <c r="D22" s="41"/>
      <c r="E22" s="41"/>
      <c r="F22" s="8"/>
      <c r="G22" s="35"/>
      <c r="H22" s="8"/>
      <c r="I22" s="16"/>
      <c r="J22" s="35">
        <f>F22*G22+H22*I22</f>
        <v>0</v>
      </c>
      <c r="K22" s="16" t="e">
        <f>E22/(J22)</f>
        <v>#DIV/0!</v>
      </c>
      <c r="L22" s="3"/>
      <c r="M22" s="26">
        <f>E22+'6-18-22'!M22</f>
        <v>125400</v>
      </c>
      <c r="N22" s="27">
        <f>M22/C22</f>
        <v>1</v>
      </c>
      <c r="O22" s="35">
        <f>J22+'6-18-22'!O22</f>
        <v>679.75</v>
      </c>
      <c r="P22" s="26">
        <f>M22/O22</f>
        <v>184.47958808385437</v>
      </c>
    </row>
    <row r="23" spans="1:16" ht="15.6" x14ac:dyDescent="0.3">
      <c r="A23" s="3"/>
      <c r="B23" s="3"/>
      <c r="C23" s="3"/>
      <c r="D23" s="3"/>
      <c r="E23" s="3"/>
      <c r="F23" s="3"/>
      <c r="G23" s="40"/>
      <c r="H23" s="3"/>
      <c r="I23" s="28"/>
      <c r="J23" s="40"/>
      <c r="K23" s="28"/>
      <c r="L23" s="3"/>
      <c r="M23" s="29"/>
      <c r="N23" s="3"/>
      <c r="O23" s="36"/>
      <c r="P23" s="29"/>
    </row>
    <row r="24" spans="1:16" ht="15.6" x14ac:dyDescent="0.3">
      <c r="A24" s="3"/>
      <c r="B24" s="8" t="s">
        <v>54</v>
      </c>
      <c r="C24" s="8">
        <v>125400</v>
      </c>
      <c r="D24" s="8"/>
      <c r="E24" s="8"/>
      <c r="F24" s="8"/>
      <c r="G24" s="35"/>
      <c r="H24" s="8"/>
      <c r="I24" s="16"/>
      <c r="J24" s="35">
        <f>F24*G24+H24*I24</f>
        <v>0</v>
      </c>
      <c r="K24" s="16" t="e">
        <f>E24/(J24)</f>
        <v>#DIV/0!</v>
      </c>
      <c r="L24" s="3"/>
      <c r="M24" s="26">
        <f>E24+'6-18-22'!M24</f>
        <v>125400</v>
      </c>
      <c r="N24" s="27">
        <f>M24/C24</f>
        <v>1</v>
      </c>
      <c r="O24" s="35">
        <f>J24+'6-18-22'!O24</f>
        <v>449.75</v>
      </c>
      <c r="P24" s="26">
        <f>M24/O24</f>
        <v>278.82156753752082</v>
      </c>
    </row>
    <row r="25" spans="1:16" ht="15.6" x14ac:dyDescent="0.3">
      <c r="A25" s="3"/>
      <c r="B25" s="3"/>
      <c r="C25" s="3"/>
      <c r="D25" s="3"/>
      <c r="E25" s="3"/>
      <c r="F25" s="3"/>
      <c r="G25" s="36"/>
      <c r="H25" s="3"/>
      <c r="I25" s="4"/>
      <c r="J25" s="36"/>
      <c r="K25" s="4"/>
      <c r="L25" s="3"/>
      <c r="M25" s="29"/>
      <c r="N25" s="3"/>
      <c r="O25" s="3"/>
      <c r="P25" s="3"/>
    </row>
    <row r="26" spans="1:16" ht="15.6" x14ac:dyDescent="0.3">
      <c r="A26" s="3"/>
      <c r="B26" s="8" t="s">
        <v>44</v>
      </c>
      <c r="C26" s="8">
        <v>3040</v>
      </c>
      <c r="D26" s="8"/>
      <c r="E26" s="8"/>
      <c r="F26" s="8"/>
      <c r="G26" s="35"/>
      <c r="H26" s="8"/>
      <c r="I26" s="16"/>
      <c r="J26" s="35">
        <f>F26*G26+H26*I26</f>
        <v>0</v>
      </c>
      <c r="K26" s="16" t="e">
        <f>E26/(J26)</f>
        <v>#DIV/0!</v>
      </c>
      <c r="L26" s="3"/>
      <c r="M26" s="26">
        <f>E26+'6-18-22'!M26</f>
        <v>1516</v>
      </c>
      <c r="N26" s="27">
        <f>M26/C26</f>
        <v>0.49868421052631579</v>
      </c>
      <c r="O26" s="35">
        <f>J26+'6-18-22'!O26</f>
        <v>101</v>
      </c>
      <c r="P26" s="26">
        <f>M26/O26</f>
        <v>15.009900990099009</v>
      </c>
    </row>
    <row r="27" spans="1:16" ht="15.6" x14ac:dyDescent="0.3">
      <c r="A27" s="3"/>
      <c r="B27" s="3"/>
      <c r="C27" s="3"/>
      <c r="D27" s="3"/>
      <c r="E27" s="3"/>
      <c r="F27" s="3"/>
      <c r="G27" s="36"/>
      <c r="H27" s="3"/>
      <c r="I27" s="4"/>
      <c r="J27" s="36"/>
      <c r="K27" s="4"/>
      <c r="L27" s="3"/>
      <c r="M27" s="29"/>
      <c r="N27" s="3"/>
      <c r="O27" s="3"/>
      <c r="P27" s="3"/>
    </row>
    <row r="28" spans="1:16" ht="15.6" x14ac:dyDescent="0.3">
      <c r="A28" s="3"/>
      <c r="B28" s="8" t="s">
        <v>45</v>
      </c>
      <c r="C28" s="8">
        <v>3040</v>
      </c>
      <c r="D28" s="8"/>
      <c r="E28" s="8"/>
      <c r="F28" s="8"/>
      <c r="G28" s="35"/>
      <c r="H28" s="8"/>
      <c r="I28" s="35"/>
      <c r="J28" s="35">
        <f>F28*G28+H28*I28</f>
        <v>0</v>
      </c>
      <c r="K28" s="16" t="e">
        <f>E28/(J28)</f>
        <v>#DIV/0!</v>
      </c>
      <c r="L28" s="3"/>
      <c r="M28" s="26">
        <f>E28+'6-18-22'!M28</f>
        <v>853</v>
      </c>
      <c r="N28" s="27">
        <f>M28/C28</f>
        <v>0.28059210526315792</v>
      </c>
      <c r="O28" s="35">
        <f>J28+'6-18-22'!O28</f>
        <v>226</v>
      </c>
      <c r="P28" s="26">
        <f>M28/O28</f>
        <v>3.7743362831858409</v>
      </c>
    </row>
    <row r="29" spans="1:16" ht="15.6" x14ac:dyDescent="0.3">
      <c r="A29" s="3"/>
      <c r="B29" s="3"/>
      <c r="C29" s="3"/>
      <c r="D29" s="3"/>
      <c r="E29" s="3"/>
      <c r="F29" s="3"/>
      <c r="G29" s="36"/>
      <c r="H29" s="3"/>
      <c r="I29" s="4"/>
      <c r="J29" s="36"/>
      <c r="K29" s="4"/>
      <c r="L29" s="3"/>
      <c r="M29" s="29"/>
      <c r="N29" s="3"/>
      <c r="O29" s="3"/>
      <c r="P29" s="3"/>
    </row>
    <row r="30" spans="1:16" ht="15.6" x14ac:dyDescent="0.3">
      <c r="A30" s="3"/>
      <c r="B30" s="8" t="s">
        <v>47</v>
      </c>
      <c r="C30" s="8">
        <v>125400</v>
      </c>
      <c r="D30" s="8"/>
      <c r="E30" s="8"/>
      <c r="F30" s="8"/>
      <c r="G30" s="35"/>
      <c r="H30" s="8"/>
      <c r="I30" s="35"/>
      <c r="J30" s="35">
        <f>F30*G30+H30*I30</f>
        <v>0</v>
      </c>
      <c r="K30" s="16" t="e">
        <f>E30/(J30)</f>
        <v>#DIV/0!</v>
      </c>
      <c r="L30" s="3"/>
      <c r="M30" s="26">
        <f>E30+'6-18-22'!M30</f>
        <v>112200</v>
      </c>
      <c r="N30" s="27">
        <f>M30/C30</f>
        <v>0.89473684210526316</v>
      </c>
      <c r="O30" s="35">
        <f>J30+'6-18-22'!O30</f>
        <v>558.75</v>
      </c>
      <c r="P30" s="26">
        <f>M30/O30</f>
        <v>200.80536912751677</v>
      </c>
    </row>
    <row r="31" spans="1:16" ht="15.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7"/>
      <c r="O31" s="3"/>
      <c r="P31" s="3"/>
    </row>
    <row r="32" spans="1:16" ht="15.6" x14ac:dyDescent="0.3">
      <c r="A32" s="3"/>
      <c r="B32" s="8" t="s">
        <v>46</v>
      </c>
      <c r="C32" s="8">
        <v>324</v>
      </c>
      <c r="D32" s="8"/>
      <c r="E32" s="8"/>
      <c r="F32" s="8"/>
      <c r="G32" s="35"/>
      <c r="H32" s="8"/>
      <c r="I32" s="16"/>
      <c r="J32" s="35">
        <f>F32*G32+H32*I32</f>
        <v>0</v>
      </c>
      <c r="K32" s="16" t="e">
        <f>E32/(J32)</f>
        <v>#DIV/0!</v>
      </c>
      <c r="L32" s="3"/>
      <c r="M32" s="26">
        <f>E32+'6-18-22'!M32</f>
        <v>0</v>
      </c>
      <c r="N32" s="27">
        <f>M32/C32</f>
        <v>0</v>
      </c>
      <c r="O32" s="35">
        <f>J32+'6-18-22'!O32</f>
        <v>0</v>
      </c>
      <c r="P32" s="26" t="e">
        <f>M32/O32</f>
        <v>#DIV/0!</v>
      </c>
    </row>
    <row r="33" spans="1:16" ht="15.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7"/>
      <c r="O33" s="3"/>
      <c r="P33" s="3"/>
    </row>
    <row r="34" spans="1:16" ht="15.6" x14ac:dyDescent="0.3">
      <c r="A34" s="3"/>
      <c r="B34" s="8" t="s">
        <v>48</v>
      </c>
      <c r="C34" s="8">
        <v>115000</v>
      </c>
      <c r="D34" s="8"/>
      <c r="E34" s="8"/>
      <c r="F34" s="8"/>
      <c r="G34" s="35"/>
      <c r="H34" s="8"/>
      <c r="I34" s="16"/>
      <c r="J34" s="35">
        <f>F34*G34+H34*I34</f>
        <v>0</v>
      </c>
      <c r="K34" s="16" t="e">
        <f>E34/(J34)</f>
        <v>#DIV/0!</v>
      </c>
      <c r="L34" s="3"/>
      <c r="M34" s="26">
        <f>E34+'6-18-22'!M34</f>
        <v>0</v>
      </c>
      <c r="N34" s="27">
        <f>M34/C34</f>
        <v>0</v>
      </c>
      <c r="O34" s="35">
        <f>J34+'6-18-22'!O34</f>
        <v>0</v>
      </c>
      <c r="P34" s="26" t="e">
        <f>M34/O34</f>
        <v>#DIV/0!</v>
      </c>
    </row>
    <row r="35" spans="1:16" ht="15.6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27"/>
      <c r="O35" s="3"/>
      <c r="P35" s="3"/>
    </row>
    <row r="36" spans="1:16" ht="15.6" x14ac:dyDescent="0.3">
      <c r="A36" s="3"/>
      <c r="B36" s="8" t="s">
        <v>49</v>
      </c>
      <c r="C36" s="8">
        <v>8</v>
      </c>
      <c r="D36" s="8"/>
      <c r="E36" s="8"/>
      <c r="F36" s="8"/>
      <c r="G36" s="35"/>
      <c r="H36" s="8"/>
      <c r="I36" s="16"/>
      <c r="J36" s="35">
        <f>F36*G36+H36*I36</f>
        <v>0</v>
      </c>
      <c r="K36" s="16" t="e">
        <f>E36/(J36)</f>
        <v>#DIV/0!</v>
      </c>
      <c r="L36" s="3"/>
      <c r="M36" s="26">
        <f>E36+'6-18-22'!M36</f>
        <v>0</v>
      </c>
      <c r="N36" s="27">
        <f>M36/C36</f>
        <v>0</v>
      </c>
      <c r="O36" s="35">
        <f>J36+'6-18-22'!O36</f>
        <v>24</v>
      </c>
      <c r="P36" s="26">
        <f>M36/O36</f>
        <v>0</v>
      </c>
    </row>
    <row r="37" spans="1:16" ht="15.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27"/>
      <c r="O37" s="3"/>
      <c r="P37" s="3"/>
    </row>
    <row r="38" spans="1:16" ht="15.6" x14ac:dyDescent="0.3">
      <c r="A38" s="3"/>
      <c r="B38" s="8" t="s">
        <v>50</v>
      </c>
      <c r="C38" s="8">
        <f>2760+480</f>
        <v>3240</v>
      </c>
      <c r="D38" s="8"/>
      <c r="E38" s="8"/>
      <c r="F38" s="8"/>
      <c r="G38" s="35"/>
      <c r="H38" s="8"/>
      <c r="I38" s="16"/>
      <c r="J38" s="35">
        <f>F38*G38+H38*I38</f>
        <v>0</v>
      </c>
      <c r="K38" s="16" t="e">
        <f>E38/(J38)</f>
        <v>#DIV/0!</v>
      </c>
      <c r="L38" s="3"/>
      <c r="M38" s="26">
        <f>E38+'6-18-22'!M38</f>
        <v>1005</v>
      </c>
      <c r="N38" s="27">
        <f>M38/C38</f>
        <v>0.31018518518518517</v>
      </c>
      <c r="O38" s="35">
        <f>J38+'6-18-22'!O38</f>
        <v>53.25</v>
      </c>
      <c r="P38" s="26">
        <f>M38/O38</f>
        <v>18.87323943661972</v>
      </c>
    </row>
    <row r="39" spans="1:16" ht="15.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7"/>
      <c r="O39" s="3"/>
      <c r="P39" s="3"/>
    </row>
    <row r="40" spans="1:16" ht="15.6" x14ac:dyDescent="0.3">
      <c r="A40" s="3"/>
      <c r="B40" s="8" t="s">
        <v>115</v>
      </c>
      <c r="C40" s="8">
        <v>25</v>
      </c>
      <c r="D40" s="8"/>
      <c r="E40" s="8"/>
      <c r="F40" s="8"/>
      <c r="G40" s="35"/>
      <c r="H40" s="8"/>
      <c r="I40" s="16"/>
      <c r="J40" s="35">
        <f>F40*G40+H40*I40</f>
        <v>0</v>
      </c>
      <c r="K40" s="16" t="e">
        <f>E40/(J40)</f>
        <v>#DIV/0!</v>
      </c>
      <c r="L40" s="3"/>
      <c r="M40" s="26">
        <f>E40+'6-18-22'!M40</f>
        <v>0</v>
      </c>
      <c r="N40" s="27">
        <f>M40/C40</f>
        <v>0</v>
      </c>
      <c r="O40" s="35">
        <f>J40+'6-18-22'!O40</f>
        <v>0</v>
      </c>
      <c r="P40" s="26" t="e">
        <f>M40/O40</f>
        <v>#DIV/0!</v>
      </c>
    </row>
    <row r="41" spans="1:16" ht="15.6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27"/>
      <c r="O41" s="3"/>
      <c r="P41" s="3"/>
    </row>
    <row r="42" spans="1:16" ht="15.6" x14ac:dyDescent="0.3">
      <c r="A42" s="3"/>
      <c r="B42" s="8" t="s">
        <v>113</v>
      </c>
      <c r="C42" s="8" t="s">
        <v>52</v>
      </c>
      <c r="D42" s="8"/>
      <c r="E42" s="8"/>
      <c r="F42" s="8"/>
      <c r="G42" s="35"/>
      <c r="H42" s="8"/>
      <c r="I42" s="16"/>
      <c r="J42" s="35">
        <f>F42*G42+H42*I42</f>
        <v>0</v>
      </c>
      <c r="K42" s="16" t="e">
        <f>E42/(J42)</f>
        <v>#DIV/0!</v>
      </c>
      <c r="L42" s="3"/>
      <c r="M42" s="26">
        <f>E42+'6-18-22'!M42</f>
        <v>0</v>
      </c>
      <c r="N42" s="53" t="e">
        <f>M42/C42</f>
        <v>#VALUE!</v>
      </c>
      <c r="O42" s="35">
        <f>J42+'6-18-22'!O42</f>
        <v>0</v>
      </c>
      <c r="P42" s="26" t="e">
        <f>M42/O42</f>
        <v>#DIV/0!</v>
      </c>
    </row>
    <row r="43" spans="1:16" ht="15.6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27"/>
      <c r="O43" s="3"/>
      <c r="P43" s="3"/>
    </row>
    <row r="44" spans="1:16" ht="15.6" x14ac:dyDescent="0.3">
      <c r="A44" s="3"/>
      <c r="B44" s="8" t="s">
        <v>114</v>
      </c>
      <c r="C44" s="8" t="s">
        <v>52</v>
      </c>
      <c r="D44" s="8"/>
      <c r="E44" s="8"/>
      <c r="F44" s="8"/>
      <c r="G44" s="35"/>
      <c r="H44" s="8"/>
      <c r="I44" s="16"/>
      <c r="J44" s="35">
        <f>F44*G44+H44*I44</f>
        <v>0</v>
      </c>
      <c r="K44" s="16" t="e">
        <f>E44/(J44)</f>
        <v>#DIV/0!</v>
      </c>
      <c r="L44" s="3"/>
      <c r="M44" s="26" t="e">
        <f>E44+'6-18-22'!M44</f>
        <v>#VALUE!</v>
      </c>
      <c r="N44" s="53" t="e">
        <f>M44/C44</f>
        <v>#VALUE!</v>
      </c>
      <c r="O44" s="35">
        <f>J44+'6-18-22'!O44</f>
        <v>99</v>
      </c>
      <c r="P44" s="26" t="e">
        <f>M44/O44</f>
        <v>#VALUE!</v>
      </c>
    </row>
    <row r="45" spans="1:16" ht="15.6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27"/>
      <c r="O45" s="3"/>
      <c r="P45" s="3"/>
    </row>
    <row r="46" spans="1:16" ht="15.6" x14ac:dyDescent="0.3">
      <c r="A46" s="3"/>
      <c r="B46" s="8" t="s">
        <v>75</v>
      </c>
      <c r="C46" s="8"/>
      <c r="D46" s="8" t="s">
        <v>52</v>
      </c>
      <c r="E46" s="8"/>
      <c r="F46" s="8"/>
      <c r="G46" s="35"/>
      <c r="H46" s="8"/>
      <c r="I46" s="16"/>
      <c r="J46" s="35">
        <f>F46*G46+H46*I46</f>
        <v>0</v>
      </c>
      <c r="K46" s="16" t="e">
        <f>E46/(J46)</f>
        <v>#DIV/0!</v>
      </c>
      <c r="L46" s="3"/>
      <c r="M46" s="26">
        <f>E46+'6-18-22'!M46</f>
        <v>0</v>
      </c>
      <c r="N46" s="53" t="e">
        <f>M46/C46</f>
        <v>#DIV/0!</v>
      </c>
      <c r="O46" s="35">
        <f>J46+'6-18-22'!O46</f>
        <v>225.75</v>
      </c>
      <c r="P46" s="26">
        <f>M46/O46</f>
        <v>0</v>
      </c>
    </row>
    <row r="47" spans="1:16" ht="15.6" x14ac:dyDescent="0.3">
      <c r="A47" s="3"/>
      <c r="B47" s="3" t="s">
        <v>27</v>
      </c>
      <c r="C47" s="3"/>
      <c r="D47" s="3" t="s">
        <v>52</v>
      </c>
      <c r="E47" s="3"/>
      <c r="F47" s="3"/>
      <c r="G47" s="3"/>
      <c r="H47" s="30"/>
      <c r="I47" s="4"/>
      <c r="J47" s="3">
        <f>J20+J22+J24+J26+J28+J30+J32+J34+J36+J38+J40+J42+J44+J46</f>
        <v>0</v>
      </c>
      <c r="K47" s="3"/>
      <c r="L47" s="3"/>
      <c r="M47" s="3"/>
      <c r="N47" s="3"/>
      <c r="O47" s="3">
        <f>O20+O22+O24+O26+O28+O30+O32+O34+O36+O38+O40+O42+O44+O46</f>
        <v>2525.25</v>
      </c>
      <c r="P47" s="3"/>
    </row>
    <row r="48" spans="1:16" ht="15.6" x14ac:dyDescent="0.3">
      <c r="A48" s="3"/>
      <c r="B48" s="3"/>
      <c r="C48" s="3"/>
      <c r="D48" s="3"/>
      <c r="E48" s="3"/>
      <c r="F48" s="3"/>
      <c r="G48" s="3"/>
      <c r="H48" s="3"/>
      <c r="I48" s="4"/>
      <c r="J48" s="3"/>
      <c r="K48" s="3"/>
      <c r="L48" s="3"/>
      <c r="M48" s="3"/>
      <c r="N48" s="3"/>
      <c r="O48" s="3"/>
      <c r="P48" s="3"/>
    </row>
    <row r="49" spans="1:16" ht="15.6" x14ac:dyDescent="0.3">
      <c r="A49" s="3"/>
      <c r="B49" s="3" t="s">
        <v>28</v>
      </c>
      <c r="C49" s="3" t="s">
        <v>70</v>
      </c>
      <c r="D49" s="3"/>
      <c r="E49" s="3"/>
      <c r="F49" s="3"/>
      <c r="G49" s="3"/>
      <c r="H49" s="3"/>
      <c r="I49" s="4"/>
      <c r="J49" s="3"/>
      <c r="K49" s="3"/>
      <c r="L49" s="3"/>
      <c r="M49" s="3"/>
      <c r="N49" s="3"/>
      <c r="O49" s="3"/>
      <c r="P49" s="3"/>
    </row>
    <row r="50" spans="1:16" ht="15.6" x14ac:dyDescent="0.3">
      <c r="C50" s="33"/>
    </row>
    <row r="51" spans="1:16" ht="15.6" x14ac:dyDescent="0.3">
      <c r="B51" s="3" t="s">
        <v>32</v>
      </c>
      <c r="C51" s="33"/>
    </row>
    <row r="52" spans="1:16" ht="15.6" x14ac:dyDescent="0.3">
      <c r="C52" s="33"/>
    </row>
    <row r="53" spans="1:16" ht="15.6" x14ac:dyDescent="0.3">
      <c r="B53" s="3" t="s">
        <v>33</v>
      </c>
      <c r="C53" s="3"/>
    </row>
    <row r="54" spans="1:16" ht="15.6" x14ac:dyDescent="0.3">
      <c r="C54" s="33"/>
    </row>
    <row r="55" spans="1:16" ht="15.6" x14ac:dyDescent="0.3">
      <c r="C55" s="33" t="s">
        <v>52</v>
      </c>
    </row>
    <row r="57" spans="1:16" x14ac:dyDescent="0.3">
      <c r="C57" t="s">
        <v>52</v>
      </c>
      <c r="D57" t="s">
        <v>52</v>
      </c>
    </row>
    <row r="58" spans="1:16" x14ac:dyDescent="0.3">
      <c r="C58" t="s">
        <v>52</v>
      </c>
      <c r="D58" t="s">
        <v>52</v>
      </c>
    </row>
  </sheetData>
  <mergeCells count="2">
    <mergeCell ref="A1:G1"/>
    <mergeCell ref="H7:I7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6D4CF-FB18-41D7-ABD1-5949258960B2}">
  <dimension ref="A1:R58"/>
  <sheetViews>
    <sheetView zoomScale="85" zoomScaleNormal="85" workbookViewId="0">
      <selection activeCell="D28" sqref="D28"/>
    </sheetView>
  </sheetViews>
  <sheetFormatPr defaultRowHeight="14.4" x14ac:dyDescent="0.3"/>
  <cols>
    <col min="1" max="1" width="11.33203125" customWidth="1"/>
    <col min="2" max="2" width="29.33203125" customWidth="1"/>
    <col min="3" max="3" width="22.109375" customWidth="1"/>
    <col min="4" max="4" width="14.88671875" customWidth="1"/>
    <col min="5" max="5" width="16.6640625" customWidth="1"/>
    <col min="6" max="6" width="17.44140625" customWidth="1"/>
    <col min="8" max="8" width="20.44140625" customWidth="1"/>
    <col min="13" max="13" width="10.6640625" customWidth="1"/>
    <col min="14" max="14" width="10" bestFit="1" customWidth="1"/>
    <col min="15" max="15" width="10.6640625" customWidth="1"/>
    <col min="18" max="18" width="9.6640625" bestFit="1" customWidth="1"/>
  </cols>
  <sheetData>
    <row r="1" spans="1:18" ht="18" x14ac:dyDescent="0.35">
      <c r="A1" s="66" t="s">
        <v>0</v>
      </c>
      <c r="B1" s="66"/>
      <c r="C1" s="66"/>
      <c r="D1" s="66"/>
      <c r="E1" s="66"/>
      <c r="F1" s="66"/>
      <c r="G1" s="66"/>
      <c r="H1" s="1"/>
      <c r="I1" s="2"/>
      <c r="J1" s="1"/>
      <c r="K1" s="1"/>
      <c r="L1" s="1"/>
      <c r="M1" s="1"/>
      <c r="N1" s="1"/>
      <c r="O1" s="1"/>
      <c r="P1" s="1"/>
    </row>
    <row r="2" spans="1:18" ht="15.6" x14ac:dyDescent="0.3">
      <c r="A2" s="3"/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</row>
    <row r="3" spans="1:18" ht="15.6" x14ac:dyDescent="0.3">
      <c r="A3" s="3"/>
      <c r="B3" s="5" t="s">
        <v>1</v>
      </c>
      <c r="C3" s="6" t="s">
        <v>43</v>
      </c>
      <c r="D3" s="7"/>
      <c r="E3" s="3"/>
      <c r="F3" s="5" t="s">
        <v>2</v>
      </c>
      <c r="G3" s="8">
        <v>4355</v>
      </c>
      <c r="H3" s="5" t="s">
        <v>41</v>
      </c>
      <c r="I3" s="36">
        <v>49</v>
      </c>
      <c r="J3" s="3"/>
      <c r="K3" s="3"/>
      <c r="L3" s="3"/>
      <c r="M3" s="3" t="s">
        <v>163</v>
      </c>
      <c r="N3" s="3"/>
      <c r="O3" s="3"/>
      <c r="P3" s="3">
        <v>1</v>
      </c>
      <c r="Q3" t="s">
        <v>167</v>
      </c>
      <c r="R3" s="57">
        <v>44702</v>
      </c>
    </row>
    <row r="4" spans="1:18" ht="15.6" x14ac:dyDescent="0.3">
      <c r="A4" s="3"/>
      <c r="B4" s="5" t="s">
        <v>3</v>
      </c>
      <c r="C4" s="37">
        <v>300155</v>
      </c>
      <c r="D4" s="7"/>
      <c r="E4" s="3"/>
      <c r="F4" s="5" t="s">
        <v>4</v>
      </c>
      <c r="G4" s="56">
        <f>J16+'6-17-22'!G4</f>
        <v>2525.25</v>
      </c>
      <c r="H4" s="34" t="s">
        <v>42</v>
      </c>
      <c r="I4" s="4">
        <v>34</v>
      </c>
      <c r="J4" s="58">
        <f>I4/I3</f>
        <v>0.69387755102040816</v>
      </c>
      <c r="K4" s="3"/>
      <c r="L4" s="3"/>
      <c r="M4" s="3"/>
      <c r="N4" s="3"/>
      <c r="O4" s="3"/>
      <c r="P4" s="3"/>
    </row>
    <row r="5" spans="1:18" ht="15.6" x14ac:dyDescent="0.3">
      <c r="A5" s="3"/>
      <c r="B5" s="5" t="s">
        <v>5</v>
      </c>
      <c r="C5" s="38">
        <v>44730</v>
      </c>
      <c r="D5" s="3"/>
      <c r="E5" s="3"/>
      <c r="F5" s="3"/>
      <c r="G5" s="3"/>
      <c r="H5" s="3"/>
      <c r="I5" s="4"/>
      <c r="J5" s="3"/>
      <c r="K5" s="3"/>
      <c r="L5" s="3"/>
      <c r="M5" s="3"/>
      <c r="N5" s="3"/>
      <c r="O5" s="3"/>
      <c r="P5" s="3"/>
    </row>
    <row r="6" spans="1:18" ht="15.6" x14ac:dyDescent="0.3">
      <c r="A6" s="3"/>
      <c r="B6" s="5"/>
      <c r="C6" s="3"/>
      <c r="D6" s="3"/>
      <c r="E6" s="3"/>
      <c r="F6" s="3"/>
      <c r="G6" s="3"/>
      <c r="H6" s="3"/>
      <c r="I6" s="4"/>
      <c r="J6" s="3"/>
      <c r="K6" s="3"/>
      <c r="L6" s="3"/>
      <c r="M6" s="3"/>
      <c r="N6" s="3"/>
      <c r="O6" s="3"/>
      <c r="P6" s="3"/>
    </row>
    <row r="7" spans="1:18" ht="15.6" x14ac:dyDescent="0.3">
      <c r="A7" s="10" t="s">
        <v>6</v>
      </c>
      <c r="B7" s="11"/>
      <c r="C7" s="12" t="s">
        <v>7</v>
      </c>
      <c r="D7" s="3"/>
      <c r="E7" s="12" t="s">
        <v>8</v>
      </c>
      <c r="F7" s="12" t="s">
        <v>34</v>
      </c>
      <c r="G7" s="3"/>
      <c r="H7" s="67" t="s">
        <v>7</v>
      </c>
      <c r="I7" s="67"/>
      <c r="J7" s="12" t="s">
        <v>8</v>
      </c>
      <c r="K7" s="3"/>
      <c r="L7" s="3"/>
      <c r="M7" s="3"/>
      <c r="N7" s="3"/>
      <c r="O7" s="3"/>
      <c r="P7" s="3"/>
    </row>
    <row r="8" spans="1:18" ht="15.6" x14ac:dyDescent="0.3">
      <c r="A8" s="13">
        <v>1</v>
      </c>
      <c r="B8" s="5" t="s">
        <v>9</v>
      </c>
      <c r="C8" s="14" t="s">
        <v>35</v>
      </c>
      <c r="D8" s="15"/>
      <c r="E8" s="35">
        <v>8</v>
      </c>
      <c r="F8" s="16">
        <v>66</v>
      </c>
      <c r="G8" s="11">
        <v>9</v>
      </c>
      <c r="H8" s="14" t="s">
        <v>40</v>
      </c>
      <c r="I8" s="8"/>
      <c r="J8" s="35">
        <v>8</v>
      </c>
      <c r="K8" s="3"/>
      <c r="L8" s="3"/>
      <c r="M8" s="3"/>
      <c r="N8" s="3"/>
      <c r="O8" s="3"/>
      <c r="P8" s="3"/>
    </row>
    <row r="9" spans="1:18" ht="15.6" x14ac:dyDescent="0.3">
      <c r="A9" s="13">
        <v>2</v>
      </c>
      <c r="B9" s="5" t="s">
        <v>10</v>
      </c>
      <c r="C9" s="14" t="s">
        <v>37</v>
      </c>
      <c r="D9" s="8"/>
      <c r="E9" s="35">
        <v>8</v>
      </c>
      <c r="F9" s="16"/>
      <c r="G9" s="11">
        <v>10</v>
      </c>
      <c r="H9" s="14"/>
      <c r="I9" s="8"/>
      <c r="J9" s="39"/>
      <c r="K9" s="3"/>
      <c r="L9" s="3"/>
      <c r="M9" s="3"/>
      <c r="N9" s="3"/>
      <c r="O9" s="3"/>
      <c r="P9" s="3"/>
    </row>
    <row r="10" spans="1:18" ht="15.6" x14ac:dyDescent="0.3">
      <c r="A10" s="13">
        <v>3</v>
      </c>
      <c r="B10" s="5" t="s">
        <v>11</v>
      </c>
      <c r="C10" s="14" t="s">
        <v>36</v>
      </c>
      <c r="D10" s="8"/>
      <c r="E10" s="35">
        <v>8</v>
      </c>
      <c r="F10" s="16">
        <v>78</v>
      </c>
      <c r="G10" s="11">
        <v>11</v>
      </c>
      <c r="H10" s="3"/>
      <c r="I10" s="8"/>
      <c r="J10" s="39"/>
      <c r="K10" s="3"/>
      <c r="L10" s="3"/>
      <c r="M10" s="3"/>
      <c r="N10" s="3"/>
      <c r="O10" s="3"/>
      <c r="P10" s="3"/>
    </row>
    <row r="11" spans="1:18" ht="15.6" x14ac:dyDescent="0.3">
      <c r="A11" s="13">
        <v>4</v>
      </c>
      <c r="B11" s="5" t="s">
        <v>12</v>
      </c>
      <c r="C11" s="14" t="s">
        <v>29</v>
      </c>
      <c r="D11" s="8"/>
      <c r="E11" s="35">
        <v>8</v>
      </c>
      <c r="F11" s="16"/>
      <c r="G11" s="11">
        <v>12</v>
      </c>
      <c r="H11" s="3"/>
      <c r="I11" s="8"/>
      <c r="J11" s="39"/>
      <c r="K11" s="3"/>
      <c r="L11" s="3"/>
      <c r="M11" s="3"/>
      <c r="N11" s="3"/>
      <c r="O11" s="3"/>
      <c r="P11" s="3"/>
    </row>
    <row r="12" spans="1:18" ht="15.6" x14ac:dyDescent="0.3">
      <c r="A12" s="13">
        <v>5</v>
      </c>
      <c r="B12" s="3"/>
      <c r="C12" s="31" t="s">
        <v>30</v>
      </c>
      <c r="D12" s="8"/>
      <c r="E12" s="35">
        <v>8</v>
      </c>
      <c r="F12" s="16"/>
      <c r="G12" s="11">
        <v>13</v>
      </c>
      <c r="H12" s="3"/>
      <c r="I12" s="8"/>
      <c r="J12" s="39"/>
      <c r="K12" s="3"/>
      <c r="L12" s="3"/>
      <c r="M12" s="3"/>
      <c r="N12" s="3"/>
      <c r="O12" s="3"/>
      <c r="P12" s="3"/>
    </row>
    <row r="13" spans="1:18" ht="15.6" x14ac:dyDescent="0.3">
      <c r="A13" s="13">
        <v>6</v>
      </c>
      <c r="B13" s="3"/>
      <c r="C13" s="14" t="s">
        <v>31</v>
      </c>
      <c r="D13" s="8"/>
      <c r="E13" s="35">
        <v>8</v>
      </c>
      <c r="F13" s="16">
        <v>74</v>
      </c>
      <c r="G13" s="11">
        <v>14</v>
      </c>
      <c r="H13" s="18"/>
      <c r="I13" s="8"/>
      <c r="J13" s="39"/>
      <c r="K13" s="3"/>
      <c r="L13" s="3"/>
      <c r="M13" s="3"/>
      <c r="N13" s="3"/>
      <c r="O13" s="3"/>
      <c r="P13" s="3"/>
    </row>
    <row r="14" spans="1:18" ht="15.6" x14ac:dyDescent="0.3">
      <c r="A14" s="13">
        <v>7</v>
      </c>
      <c r="B14" s="5" t="s">
        <v>52</v>
      </c>
      <c r="C14" s="14" t="s">
        <v>39</v>
      </c>
      <c r="D14" s="8"/>
      <c r="E14" s="35">
        <v>8</v>
      </c>
      <c r="F14" s="16"/>
      <c r="G14" s="11">
        <v>15</v>
      </c>
      <c r="H14" s="3"/>
      <c r="I14" s="8"/>
      <c r="J14" s="39"/>
      <c r="K14" s="3"/>
      <c r="L14" s="3"/>
      <c r="M14" s="3"/>
      <c r="N14" s="3"/>
      <c r="O14" s="3"/>
      <c r="P14" s="3"/>
    </row>
    <row r="15" spans="1:18" ht="15.6" x14ac:dyDescent="0.3">
      <c r="A15" s="13">
        <v>8</v>
      </c>
      <c r="B15" s="3"/>
      <c r="C15" s="14" t="s">
        <v>38</v>
      </c>
      <c r="D15" s="8"/>
      <c r="E15" s="35">
        <v>8</v>
      </c>
      <c r="F15" s="16"/>
      <c r="G15" s="11">
        <v>16</v>
      </c>
      <c r="H15" s="3"/>
      <c r="I15" s="8"/>
      <c r="J15" s="39"/>
      <c r="K15" s="3"/>
      <c r="L15" s="3"/>
      <c r="M15" s="3"/>
      <c r="N15" s="3"/>
      <c r="O15" s="3"/>
      <c r="P15" s="3"/>
    </row>
    <row r="16" spans="1:18" ht="15.6" x14ac:dyDescent="0.3">
      <c r="A16" s="3"/>
      <c r="B16" s="3"/>
      <c r="C16" s="3"/>
      <c r="D16" s="3"/>
      <c r="E16" s="3"/>
      <c r="F16" s="3"/>
      <c r="G16" s="13"/>
      <c r="H16" s="7" t="s">
        <v>13</v>
      </c>
      <c r="I16" s="3"/>
      <c r="J16" s="8">
        <f>SUM(E8:E15)+SUM(J8:J15)</f>
        <v>72</v>
      </c>
      <c r="K16" s="3"/>
      <c r="L16" s="3"/>
      <c r="M16" s="3"/>
      <c r="N16" s="3"/>
      <c r="O16" s="3"/>
      <c r="P16" s="3"/>
    </row>
    <row r="17" spans="1:16" ht="15.6" x14ac:dyDescent="0.3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  <c r="L17" s="3"/>
      <c r="M17" s="3"/>
      <c r="N17" s="3"/>
      <c r="O17" s="3"/>
      <c r="P17" s="3"/>
    </row>
    <row r="18" spans="1:16" ht="93.6" x14ac:dyDescent="0.3">
      <c r="A18" s="19"/>
      <c r="B18" s="20" t="s">
        <v>14</v>
      </c>
      <c r="C18" s="21" t="s">
        <v>15</v>
      </c>
      <c r="D18" s="22" t="s">
        <v>16</v>
      </c>
      <c r="E18" s="22" t="s">
        <v>17</v>
      </c>
      <c r="F18" s="22" t="s">
        <v>18</v>
      </c>
      <c r="G18" s="22" t="s">
        <v>19</v>
      </c>
      <c r="H18" s="22" t="s">
        <v>18</v>
      </c>
      <c r="I18" s="22" t="s">
        <v>19</v>
      </c>
      <c r="J18" s="22" t="s">
        <v>20</v>
      </c>
      <c r="K18" s="23" t="s">
        <v>21</v>
      </c>
      <c r="L18" s="24"/>
      <c r="M18" s="23" t="s">
        <v>22</v>
      </c>
      <c r="N18" s="23" t="s">
        <v>23</v>
      </c>
      <c r="O18" s="23" t="s">
        <v>24</v>
      </c>
      <c r="P18" s="23" t="s">
        <v>25</v>
      </c>
    </row>
    <row r="19" spans="1:16" ht="15.6" x14ac:dyDescent="0.3">
      <c r="A19" s="19"/>
      <c r="B19" s="19"/>
      <c r="C19" s="24"/>
      <c r="D19" s="24"/>
      <c r="E19" s="24"/>
      <c r="F19" s="24"/>
      <c r="G19" s="24"/>
      <c r="H19" s="24"/>
      <c r="I19" s="24"/>
      <c r="J19" s="24"/>
      <c r="K19" s="25"/>
      <c r="L19" s="24"/>
      <c r="M19" s="3"/>
      <c r="N19" s="3"/>
      <c r="O19" s="3"/>
      <c r="P19" s="3"/>
    </row>
    <row r="20" spans="1:16" ht="15.6" x14ac:dyDescent="0.3">
      <c r="A20" s="3"/>
      <c r="B20" s="8" t="s">
        <v>26</v>
      </c>
      <c r="C20" s="8">
        <v>1</v>
      </c>
      <c r="D20" s="8">
        <v>1</v>
      </c>
      <c r="E20" s="8"/>
      <c r="F20" s="8"/>
      <c r="G20" s="35">
        <v>0</v>
      </c>
      <c r="H20" s="8"/>
      <c r="I20" s="16"/>
      <c r="J20" s="35">
        <f>F20*G20+H20*I20</f>
        <v>0</v>
      </c>
      <c r="K20" s="16" t="e">
        <f>E20/(J20)</f>
        <v>#DIV/0!</v>
      </c>
      <c r="L20" s="3"/>
      <c r="M20" s="26">
        <v>0</v>
      </c>
      <c r="N20" s="27">
        <f>M20/C20</f>
        <v>0</v>
      </c>
      <c r="O20" s="35">
        <f>J20+'6-17-22'!O20</f>
        <v>108</v>
      </c>
      <c r="P20" s="26">
        <f>M20/O20</f>
        <v>0</v>
      </c>
    </row>
    <row r="21" spans="1:16" ht="15.6" x14ac:dyDescent="0.3">
      <c r="A21" s="3"/>
      <c r="B21" s="3"/>
      <c r="C21" s="3"/>
      <c r="D21" s="3"/>
      <c r="E21" s="3"/>
      <c r="F21" s="3"/>
      <c r="G21" s="40"/>
      <c r="H21" s="3"/>
      <c r="I21" s="28"/>
      <c r="J21" s="40"/>
      <c r="K21" s="28"/>
      <c r="L21" s="3"/>
      <c r="M21" s="29"/>
      <c r="N21" s="3"/>
      <c r="O21" s="3"/>
      <c r="P21" s="3"/>
    </row>
    <row r="22" spans="1:16" ht="15.6" x14ac:dyDescent="0.3">
      <c r="A22" s="3"/>
      <c r="B22" s="8" t="s">
        <v>53</v>
      </c>
      <c r="C22" s="8">
        <v>125400</v>
      </c>
      <c r="D22" s="41"/>
      <c r="E22" s="41"/>
      <c r="F22" s="8"/>
      <c r="G22" s="35"/>
      <c r="H22" s="8"/>
      <c r="I22" s="16"/>
      <c r="J22" s="35">
        <f>F22*G22+H22*I22</f>
        <v>0</v>
      </c>
      <c r="K22" s="16" t="e">
        <f>E22/(J22)</f>
        <v>#DIV/0!</v>
      </c>
      <c r="L22" s="3"/>
      <c r="M22" s="26">
        <f>E22+'6-17-22'!M22</f>
        <v>125400</v>
      </c>
      <c r="N22" s="27">
        <f>M22/C22</f>
        <v>1</v>
      </c>
      <c r="O22" s="35">
        <f>J22+'6-17-22'!O22</f>
        <v>679.75</v>
      </c>
      <c r="P22" s="26">
        <f>M22/O22</f>
        <v>184.47958808385437</v>
      </c>
    </row>
    <row r="23" spans="1:16" ht="15.6" x14ac:dyDescent="0.3">
      <c r="A23" s="3"/>
      <c r="B23" s="3"/>
      <c r="C23" s="3"/>
      <c r="D23" s="3"/>
      <c r="E23" s="3"/>
      <c r="F23" s="3"/>
      <c r="G23" s="40"/>
      <c r="H23" s="3"/>
      <c r="I23" s="28"/>
      <c r="J23" s="40"/>
      <c r="K23" s="28"/>
      <c r="L23" s="3"/>
      <c r="M23" s="29"/>
      <c r="N23" s="3"/>
      <c r="O23" s="36"/>
      <c r="P23" s="29"/>
    </row>
    <row r="24" spans="1:16" ht="15.6" x14ac:dyDescent="0.3">
      <c r="A24" s="3"/>
      <c r="B24" s="8" t="s">
        <v>54</v>
      </c>
      <c r="C24" s="8">
        <v>125400</v>
      </c>
      <c r="D24" s="8"/>
      <c r="E24" s="8"/>
      <c r="F24" s="8"/>
      <c r="G24" s="35"/>
      <c r="H24" s="8"/>
      <c r="I24" s="16"/>
      <c r="J24" s="35">
        <f>F24*G24+H24*I24</f>
        <v>0</v>
      </c>
      <c r="K24" s="16" t="e">
        <f>E24/(J24)</f>
        <v>#DIV/0!</v>
      </c>
      <c r="L24" s="3"/>
      <c r="M24" s="26">
        <f>E24+'6-17-22'!M24</f>
        <v>125400</v>
      </c>
      <c r="N24" s="27">
        <f>M24/C24</f>
        <v>1</v>
      </c>
      <c r="O24" s="35">
        <f>J24+'6-17-22'!O24</f>
        <v>449.75</v>
      </c>
      <c r="P24" s="26">
        <f>M24/O24</f>
        <v>278.82156753752082</v>
      </c>
    </row>
    <row r="25" spans="1:16" ht="15.6" x14ac:dyDescent="0.3">
      <c r="A25" s="3"/>
      <c r="B25" s="3"/>
      <c r="C25" s="3"/>
      <c r="D25" s="3"/>
      <c r="E25" s="3"/>
      <c r="F25" s="3"/>
      <c r="G25" s="36"/>
      <c r="H25" s="3"/>
      <c r="I25" s="4"/>
      <c r="J25" s="36"/>
      <c r="K25" s="4"/>
      <c r="L25" s="3"/>
      <c r="M25" s="29"/>
      <c r="N25" s="3"/>
      <c r="O25" s="3"/>
      <c r="P25" s="3"/>
    </row>
    <row r="26" spans="1:16" ht="15.6" x14ac:dyDescent="0.3">
      <c r="A26" s="3"/>
      <c r="B26" s="8" t="s">
        <v>44</v>
      </c>
      <c r="C26" s="8">
        <v>3040</v>
      </c>
      <c r="D26" s="8"/>
      <c r="E26" s="8"/>
      <c r="F26" s="8"/>
      <c r="G26" s="35"/>
      <c r="H26" s="8"/>
      <c r="I26" s="16"/>
      <c r="J26" s="35">
        <f>F26*G26+H26*I26</f>
        <v>0</v>
      </c>
      <c r="K26" s="16" t="e">
        <f>E26/(J26)</f>
        <v>#DIV/0!</v>
      </c>
      <c r="L26" s="3"/>
      <c r="M26" s="26">
        <f>E26+'6-17-22'!M26</f>
        <v>1516</v>
      </c>
      <c r="N26" s="27">
        <f>M26/C26</f>
        <v>0.49868421052631579</v>
      </c>
      <c r="O26" s="35">
        <f>J26+'6-17-22'!O26</f>
        <v>101</v>
      </c>
      <c r="P26" s="26">
        <f>M26/O26</f>
        <v>15.009900990099009</v>
      </c>
    </row>
    <row r="27" spans="1:16" ht="15.6" x14ac:dyDescent="0.3">
      <c r="A27" s="3"/>
      <c r="B27" s="3"/>
      <c r="C27" s="3"/>
      <c r="D27" s="3"/>
      <c r="E27" s="3"/>
      <c r="F27" s="3"/>
      <c r="G27" s="36"/>
      <c r="H27" s="3"/>
      <c r="I27" s="4"/>
      <c r="J27" s="36"/>
      <c r="K27" s="4"/>
      <c r="L27" s="3"/>
      <c r="M27" s="29"/>
      <c r="N27" s="3"/>
      <c r="O27" s="3"/>
      <c r="P27" s="3"/>
    </row>
    <row r="28" spans="1:16" ht="15.6" x14ac:dyDescent="0.3">
      <c r="A28" s="3"/>
      <c r="B28" s="8" t="s">
        <v>45</v>
      </c>
      <c r="C28" s="8">
        <v>3040</v>
      </c>
      <c r="D28" s="8" t="s">
        <v>178</v>
      </c>
      <c r="E28" s="8"/>
      <c r="F28" s="8">
        <v>9</v>
      </c>
      <c r="G28" s="35">
        <v>2</v>
      </c>
      <c r="H28" s="8"/>
      <c r="I28" s="35"/>
      <c r="J28" s="35">
        <f>F28*G28+H28*I28</f>
        <v>18</v>
      </c>
      <c r="K28" s="16">
        <f>E28/(J28)</f>
        <v>0</v>
      </c>
      <c r="L28" s="3"/>
      <c r="M28" s="26">
        <f>E28+'6-17-22'!M28</f>
        <v>853</v>
      </c>
      <c r="N28" s="27">
        <f>M28/C28</f>
        <v>0.28059210526315792</v>
      </c>
      <c r="O28" s="35">
        <f>J28+'6-17-22'!O28</f>
        <v>226</v>
      </c>
      <c r="P28" s="26">
        <f>M28/O28</f>
        <v>3.7743362831858409</v>
      </c>
    </row>
    <row r="29" spans="1:16" ht="15.6" x14ac:dyDescent="0.3">
      <c r="A29" s="3"/>
      <c r="B29" s="3"/>
      <c r="C29" s="3"/>
      <c r="D29" s="3"/>
      <c r="E29" s="3"/>
      <c r="F29" s="3"/>
      <c r="G29" s="36"/>
      <c r="H29" s="3"/>
      <c r="I29" s="4"/>
      <c r="J29" s="36"/>
      <c r="K29" s="4"/>
      <c r="L29" s="3"/>
      <c r="M29" s="29"/>
      <c r="N29" s="3"/>
      <c r="O29" s="3"/>
      <c r="P29" s="3"/>
    </row>
    <row r="30" spans="1:16" ht="15.6" x14ac:dyDescent="0.3">
      <c r="A30" s="3"/>
      <c r="B30" s="8" t="s">
        <v>47</v>
      </c>
      <c r="C30" s="8">
        <v>125400</v>
      </c>
      <c r="D30" s="8"/>
      <c r="E30" s="8">
        <v>28050</v>
      </c>
      <c r="F30" s="8">
        <v>9</v>
      </c>
      <c r="G30" s="35">
        <v>6</v>
      </c>
      <c r="H30" s="8"/>
      <c r="I30" s="35"/>
      <c r="J30" s="35">
        <f>F30*G30+H30*I30</f>
        <v>54</v>
      </c>
      <c r="K30" s="16">
        <f>E30/(J30)</f>
        <v>519.44444444444446</v>
      </c>
      <c r="L30" s="3"/>
      <c r="M30" s="26">
        <f>E30+'6-17-22'!M30</f>
        <v>112200</v>
      </c>
      <c r="N30" s="27">
        <f>M30/C30</f>
        <v>0.89473684210526316</v>
      </c>
      <c r="O30" s="35">
        <f>J30+'6-17-22'!O30</f>
        <v>558.75</v>
      </c>
      <c r="P30" s="26">
        <f>M30/O30</f>
        <v>200.80536912751677</v>
      </c>
    </row>
    <row r="31" spans="1:16" ht="15.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7"/>
      <c r="O31" s="3"/>
      <c r="P31" s="3"/>
    </row>
    <row r="32" spans="1:16" ht="15.6" x14ac:dyDescent="0.3">
      <c r="A32" s="3"/>
      <c r="B32" s="8" t="s">
        <v>46</v>
      </c>
      <c r="C32" s="8">
        <v>324</v>
      </c>
      <c r="D32" s="8"/>
      <c r="E32" s="8"/>
      <c r="F32" s="8"/>
      <c r="G32" s="35"/>
      <c r="H32" s="8"/>
      <c r="I32" s="16"/>
      <c r="J32" s="35">
        <f>F32*G32+H32*I32</f>
        <v>0</v>
      </c>
      <c r="K32" s="16" t="e">
        <f>E32/(J32)</f>
        <v>#DIV/0!</v>
      </c>
      <c r="L32" s="3"/>
      <c r="M32" s="26">
        <f>E32+'6-17-22'!M32</f>
        <v>0</v>
      </c>
      <c r="N32" s="27">
        <f>M32/C32</f>
        <v>0</v>
      </c>
      <c r="O32" s="35">
        <f>J32+'6-17-22'!O32</f>
        <v>0</v>
      </c>
      <c r="P32" s="26" t="e">
        <f>M32/O32</f>
        <v>#DIV/0!</v>
      </c>
    </row>
    <row r="33" spans="1:16" ht="15.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7"/>
      <c r="O33" s="3"/>
      <c r="P33" s="3"/>
    </row>
    <row r="34" spans="1:16" ht="15.6" x14ac:dyDescent="0.3">
      <c r="A34" s="3"/>
      <c r="B34" s="8" t="s">
        <v>48</v>
      </c>
      <c r="C34" s="8">
        <v>115000</v>
      </c>
      <c r="D34" s="8"/>
      <c r="E34" s="8"/>
      <c r="F34" s="8"/>
      <c r="G34" s="35"/>
      <c r="H34" s="8"/>
      <c r="I34" s="16"/>
      <c r="J34" s="35">
        <f>F34*G34+H34*I34</f>
        <v>0</v>
      </c>
      <c r="K34" s="16" t="e">
        <f>E34/(J34)</f>
        <v>#DIV/0!</v>
      </c>
      <c r="L34" s="3"/>
      <c r="M34" s="26">
        <f>E34+'6-17-22'!M34</f>
        <v>0</v>
      </c>
      <c r="N34" s="27">
        <f>M34/C34</f>
        <v>0</v>
      </c>
      <c r="O34" s="35">
        <f>J34+'6-17-22'!O34</f>
        <v>0</v>
      </c>
      <c r="P34" s="26" t="e">
        <f>M34/O34</f>
        <v>#DIV/0!</v>
      </c>
    </row>
    <row r="35" spans="1:16" ht="15.6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27"/>
      <c r="O35" s="3"/>
      <c r="P35" s="3"/>
    </row>
    <row r="36" spans="1:16" ht="15.6" x14ac:dyDescent="0.3">
      <c r="A36" s="3"/>
      <c r="B36" s="8" t="s">
        <v>49</v>
      </c>
      <c r="C36" s="8">
        <v>8</v>
      </c>
      <c r="D36" s="8"/>
      <c r="E36" s="8"/>
      <c r="F36" s="8"/>
      <c r="G36" s="35"/>
      <c r="H36" s="8"/>
      <c r="I36" s="16"/>
      <c r="J36" s="35">
        <f>F36*G36+H36*I36</f>
        <v>0</v>
      </c>
      <c r="K36" s="16" t="e">
        <f>E36/(J36)</f>
        <v>#DIV/0!</v>
      </c>
      <c r="L36" s="3"/>
      <c r="M36" s="26">
        <f>E36+'6-17-22'!M36</f>
        <v>0</v>
      </c>
      <c r="N36" s="27">
        <f>M36/C36</f>
        <v>0</v>
      </c>
      <c r="O36" s="35">
        <f>J36+'6-17-22'!O36</f>
        <v>24</v>
      </c>
      <c r="P36" s="26">
        <f>M36/O36</f>
        <v>0</v>
      </c>
    </row>
    <row r="37" spans="1:16" ht="15.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27"/>
      <c r="O37" s="3"/>
      <c r="P37" s="3"/>
    </row>
    <row r="38" spans="1:16" ht="15.6" x14ac:dyDescent="0.3">
      <c r="A38" s="3"/>
      <c r="B38" s="8" t="s">
        <v>50</v>
      </c>
      <c r="C38" s="8">
        <f>2760+480</f>
        <v>3240</v>
      </c>
      <c r="D38" s="8"/>
      <c r="E38" s="8"/>
      <c r="F38" s="8"/>
      <c r="G38" s="35"/>
      <c r="H38" s="8"/>
      <c r="I38" s="16"/>
      <c r="J38" s="35">
        <f>F38*G38+H38*I38</f>
        <v>0</v>
      </c>
      <c r="K38" s="16" t="e">
        <f>E38/(J38)</f>
        <v>#DIV/0!</v>
      </c>
      <c r="L38" s="3"/>
      <c r="M38" s="26">
        <f>E38+'6-17-22'!M38</f>
        <v>1005</v>
      </c>
      <c r="N38" s="27">
        <f>M38/C38</f>
        <v>0.31018518518518517</v>
      </c>
      <c r="O38" s="35">
        <f>J38+'6-17-22'!O38</f>
        <v>53.25</v>
      </c>
      <c r="P38" s="26">
        <f>M38/O38</f>
        <v>18.87323943661972</v>
      </c>
    </row>
    <row r="39" spans="1:16" ht="15.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7"/>
      <c r="O39" s="3"/>
      <c r="P39" s="3"/>
    </row>
    <row r="40" spans="1:16" ht="15.6" x14ac:dyDescent="0.3">
      <c r="A40" s="3"/>
      <c r="B40" s="8" t="s">
        <v>115</v>
      </c>
      <c r="C40" s="8">
        <v>25</v>
      </c>
      <c r="D40" s="8"/>
      <c r="E40" s="8"/>
      <c r="F40" s="8"/>
      <c r="G40" s="35"/>
      <c r="H40" s="8"/>
      <c r="I40" s="16"/>
      <c r="J40" s="35">
        <f>F40*G40+H40*I40</f>
        <v>0</v>
      </c>
      <c r="K40" s="16" t="e">
        <f>E40/(J40)</f>
        <v>#DIV/0!</v>
      </c>
      <c r="L40" s="3"/>
      <c r="M40" s="26">
        <f>E40+'6-17-22'!M40</f>
        <v>0</v>
      </c>
      <c r="N40" s="27">
        <f>M40/C40</f>
        <v>0</v>
      </c>
      <c r="O40" s="35">
        <f>J40+'6-17-22'!O40</f>
        <v>0</v>
      </c>
      <c r="P40" s="26" t="e">
        <f>M40/O40</f>
        <v>#DIV/0!</v>
      </c>
    </row>
    <row r="41" spans="1:16" ht="15.6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27"/>
      <c r="O41" s="3"/>
      <c r="P41" s="3"/>
    </row>
    <row r="42" spans="1:16" ht="15.6" x14ac:dyDescent="0.3">
      <c r="A42" s="3"/>
      <c r="B42" s="8" t="s">
        <v>113</v>
      </c>
      <c r="C42" s="8" t="s">
        <v>52</v>
      </c>
      <c r="D42" s="8"/>
      <c r="E42" s="8"/>
      <c r="F42" s="8"/>
      <c r="G42" s="35"/>
      <c r="H42" s="8"/>
      <c r="I42" s="16"/>
      <c r="J42" s="35">
        <f>F42*G42+H42*I42</f>
        <v>0</v>
      </c>
      <c r="K42" s="16" t="e">
        <f>E42/(J42)</f>
        <v>#DIV/0!</v>
      </c>
      <c r="L42" s="3"/>
      <c r="M42" s="26">
        <f>E42+'6-17-22'!M42</f>
        <v>0</v>
      </c>
      <c r="N42" s="53" t="e">
        <f>M42/C42</f>
        <v>#VALUE!</v>
      </c>
      <c r="O42" s="35">
        <f>J42+'6-17-22'!O42</f>
        <v>0</v>
      </c>
      <c r="P42" s="26" t="e">
        <f>M42/O42</f>
        <v>#DIV/0!</v>
      </c>
    </row>
    <row r="43" spans="1:16" ht="15.6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27"/>
      <c r="O43" s="3"/>
      <c r="P43" s="3"/>
    </row>
    <row r="44" spans="1:16" ht="15.6" x14ac:dyDescent="0.3">
      <c r="A44" s="3"/>
      <c r="B44" s="8" t="s">
        <v>114</v>
      </c>
      <c r="C44" s="8" t="s">
        <v>52</v>
      </c>
      <c r="D44" s="8"/>
      <c r="E44" s="8"/>
      <c r="F44" s="8"/>
      <c r="G44" s="35"/>
      <c r="H44" s="8"/>
      <c r="I44" s="16"/>
      <c r="J44" s="35">
        <f>F44*G44+H44*I44</f>
        <v>0</v>
      </c>
      <c r="K44" s="16" t="e">
        <f>E44/(J44)</f>
        <v>#DIV/0!</v>
      </c>
      <c r="L44" s="3"/>
      <c r="M44" s="26" t="e">
        <f>E44+'6-17-22'!M44</f>
        <v>#VALUE!</v>
      </c>
      <c r="N44" s="53" t="e">
        <f>M44/C44</f>
        <v>#VALUE!</v>
      </c>
      <c r="O44" s="35">
        <f>J44+'6-17-22'!O44</f>
        <v>99</v>
      </c>
      <c r="P44" s="26" t="e">
        <f>M44/O44</f>
        <v>#VALUE!</v>
      </c>
    </row>
    <row r="45" spans="1:16" ht="15.6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27"/>
      <c r="O45" s="3"/>
      <c r="P45" s="3"/>
    </row>
    <row r="46" spans="1:16" ht="15.6" x14ac:dyDescent="0.3">
      <c r="A46" s="3"/>
      <c r="B46" s="8" t="s">
        <v>75</v>
      </c>
      <c r="C46" s="8"/>
      <c r="D46" s="8" t="s">
        <v>52</v>
      </c>
      <c r="E46" s="8"/>
      <c r="F46" s="8"/>
      <c r="G46" s="35"/>
      <c r="H46" s="8"/>
      <c r="I46" s="16"/>
      <c r="J46" s="35">
        <f>F46*G46+H46*I46</f>
        <v>0</v>
      </c>
      <c r="K46" s="16" t="e">
        <f>E46/(J46)</f>
        <v>#DIV/0!</v>
      </c>
      <c r="L46" s="3"/>
      <c r="M46" s="26">
        <f>E46+'6-17-22'!M46</f>
        <v>0</v>
      </c>
      <c r="N46" s="53" t="e">
        <f>M46/C46</f>
        <v>#DIV/0!</v>
      </c>
      <c r="O46" s="35">
        <f>J46+'6-17-22'!O46</f>
        <v>225.75</v>
      </c>
      <c r="P46" s="26">
        <f>M46/O46</f>
        <v>0</v>
      </c>
    </row>
    <row r="47" spans="1:16" ht="15.6" x14ac:dyDescent="0.3">
      <c r="A47" s="3"/>
      <c r="B47" s="3" t="s">
        <v>27</v>
      </c>
      <c r="C47" s="3"/>
      <c r="D47" s="3" t="s">
        <v>52</v>
      </c>
      <c r="E47" s="3"/>
      <c r="F47" s="3"/>
      <c r="G47" s="3"/>
      <c r="H47" s="30"/>
      <c r="I47" s="4"/>
      <c r="J47" s="3">
        <f>J20+J22+J24+J26+J28+J30+J32+J34+J36+J38+J40+J42+J44+J46</f>
        <v>72</v>
      </c>
      <c r="K47" s="3"/>
      <c r="L47" s="3"/>
      <c r="M47" s="3"/>
      <c r="N47" s="3"/>
      <c r="O47" s="3">
        <f>O20+O22+O24+O26+O28+O30+O32+O34+O36+O38+O40+O42+O44+O46</f>
        <v>2525.25</v>
      </c>
      <c r="P47" s="3"/>
    </row>
    <row r="48" spans="1:16" ht="15.6" x14ac:dyDescent="0.3">
      <c r="A48" s="3"/>
      <c r="B48" s="3"/>
      <c r="C48" s="3"/>
      <c r="D48" s="3"/>
      <c r="E48" s="3"/>
      <c r="F48" s="3"/>
      <c r="G48" s="3"/>
      <c r="H48" s="3"/>
      <c r="I48" s="4"/>
      <c r="J48" s="3"/>
      <c r="K48" s="3"/>
      <c r="L48" s="3"/>
      <c r="M48" s="3"/>
      <c r="N48" s="3"/>
      <c r="O48" s="3"/>
      <c r="P48" s="3"/>
    </row>
    <row r="49" spans="1:16" ht="15.6" x14ac:dyDescent="0.3">
      <c r="A49" s="3"/>
      <c r="B49" s="3" t="s">
        <v>28</v>
      </c>
      <c r="C49" s="3" t="s">
        <v>179</v>
      </c>
      <c r="D49" s="3"/>
      <c r="E49" s="3"/>
      <c r="F49" s="3"/>
      <c r="G49" s="3"/>
      <c r="H49" s="3"/>
      <c r="I49" s="4"/>
      <c r="J49" s="3"/>
      <c r="K49" s="3"/>
      <c r="L49" s="3"/>
      <c r="M49" s="3"/>
      <c r="N49" s="3"/>
      <c r="O49" s="3"/>
      <c r="P49" s="3"/>
    </row>
    <row r="50" spans="1:16" ht="15.6" x14ac:dyDescent="0.3">
      <c r="C50" s="33"/>
    </row>
    <row r="51" spans="1:16" ht="15.6" x14ac:dyDescent="0.3">
      <c r="B51" s="3" t="s">
        <v>32</v>
      </c>
      <c r="C51" s="33" t="s">
        <v>180</v>
      </c>
    </row>
    <row r="52" spans="1:16" ht="15.6" x14ac:dyDescent="0.3">
      <c r="C52" s="33"/>
    </row>
    <row r="53" spans="1:16" ht="15.6" x14ac:dyDescent="0.3">
      <c r="B53" s="3" t="s">
        <v>33</v>
      </c>
      <c r="C53" s="3" t="s">
        <v>181</v>
      </c>
    </row>
    <row r="54" spans="1:16" ht="15.6" x14ac:dyDescent="0.3">
      <c r="C54" s="33"/>
    </row>
    <row r="55" spans="1:16" ht="15.6" x14ac:dyDescent="0.3">
      <c r="C55" s="33" t="s">
        <v>52</v>
      </c>
    </row>
    <row r="57" spans="1:16" x14ac:dyDescent="0.3">
      <c r="C57" t="s">
        <v>52</v>
      </c>
      <c r="D57" t="s">
        <v>52</v>
      </c>
    </row>
    <row r="58" spans="1:16" x14ac:dyDescent="0.3">
      <c r="C58" t="s">
        <v>52</v>
      </c>
      <c r="D58" t="s">
        <v>52</v>
      </c>
    </row>
  </sheetData>
  <mergeCells count="2">
    <mergeCell ref="A1:G1"/>
    <mergeCell ref="H7:I7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DD87E-DC3F-4816-8CAA-9F4583E5DEE5}">
  <dimension ref="A1:R58"/>
  <sheetViews>
    <sheetView zoomScale="85" zoomScaleNormal="85" workbookViewId="0">
      <selection activeCell="F47" sqref="F47"/>
    </sheetView>
  </sheetViews>
  <sheetFormatPr defaultRowHeight="14.4" x14ac:dyDescent="0.3"/>
  <cols>
    <col min="1" max="1" width="11.33203125" customWidth="1"/>
    <col min="2" max="2" width="29.33203125" customWidth="1"/>
    <col min="3" max="3" width="22.109375" customWidth="1"/>
    <col min="4" max="4" width="14.88671875" customWidth="1"/>
    <col min="5" max="5" width="16.6640625" customWidth="1"/>
    <col min="6" max="6" width="17.44140625" customWidth="1"/>
    <col min="8" max="8" width="20.44140625" customWidth="1"/>
    <col min="13" max="13" width="10.6640625" customWidth="1"/>
    <col min="14" max="14" width="10" bestFit="1" customWidth="1"/>
    <col min="15" max="15" width="10.6640625" customWidth="1"/>
    <col min="18" max="18" width="9.6640625" bestFit="1" customWidth="1"/>
  </cols>
  <sheetData>
    <row r="1" spans="1:18" ht="18" x14ac:dyDescent="0.35">
      <c r="A1" s="66" t="s">
        <v>0</v>
      </c>
      <c r="B1" s="66"/>
      <c r="C1" s="66"/>
      <c r="D1" s="66"/>
      <c r="E1" s="66"/>
      <c r="F1" s="66"/>
      <c r="G1" s="66"/>
      <c r="H1" s="1"/>
      <c r="I1" s="2"/>
      <c r="J1" s="1"/>
      <c r="K1" s="1"/>
      <c r="L1" s="1"/>
      <c r="M1" s="1"/>
      <c r="N1" s="1"/>
      <c r="O1" s="1"/>
      <c r="P1" s="1"/>
    </row>
    <row r="2" spans="1:18" ht="15.6" x14ac:dyDescent="0.3">
      <c r="A2" s="3"/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</row>
    <row r="3" spans="1:18" ht="15.6" x14ac:dyDescent="0.3">
      <c r="A3" s="3"/>
      <c r="B3" s="5" t="s">
        <v>1</v>
      </c>
      <c r="C3" s="6" t="s">
        <v>43</v>
      </c>
      <c r="D3" s="7"/>
      <c r="E3" s="3"/>
      <c r="F3" s="5" t="s">
        <v>2</v>
      </c>
      <c r="G3" s="8">
        <v>4355</v>
      </c>
      <c r="H3" s="5" t="s">
        <v>41</v>
      </c>
      <c r="I3" s="36">
        <v>49</v>
      </c>
      <c r="J3" s="3"/>
      <c r="K3" s="3"/>
      <c r="L3" s="3"/>
      <c r="M3" s="3" t="s">
        <v>163</v>
      </c>
      <c r="N3" s="3"/>
      <c r="O3" s="3"/>
      <c r="P3" s="3">
        <v>1</v>
      </c>
      <c r="Q3" t="s">
        <v>167</v>
      </c>
      <c r="R3" s="57">
        <v>44702</v>
      </c>
    </row>
    <row r="4" spans="1:18" ht="15.6" x14ac:dyDescent="0.3">
      <c r="A4" s="3"/>
      <c r="B4" s="5" t="s">
        <v>3</v>
      </c>
      <c r="C4" s="37">
        <v>300155</v>
      </c>
      <c r="D4" s="7"/>
      <c r="E4" s="3"/>
      <c r="F4" s="5" t="s">
        <v>4</v>
      </c>
      <c r="G4" s="56">
        <f>J16+'6-16-22'!G4</f>
        <v>2453.25</v>
      </c>
      <c r="H4" s="34" t="s">
        <v>42</v>
      </c>
      <c r="I4" s="4">
        <v>33</v>
      </c>
      <c r="J4" s="58">
        <f>I4/I3</f>
        <v>0.67346938775510201</v>
      </c>
      <c r="K4" s="3"/>
      <c r="L4" s="3"/>
      <c r="M4" s="3"/>
      <c r="N4" s="3"/>
      <c r="O4" s="3"/>
      <c r="P4" s="3"/>
    </row>
    <row r="5" spans="1:18" ht="15.6" x14ac:dyDescent="0.3">
      <c r="A5" s="3"/>
      <c r="B5" s="5" t="s">
        <v>5</v>
      </c>
      <c r="C5" s="38">
        <v>44729</v>
      </c>
      <c r="D5" s="3"/>
      <c r="E5" s="3"/>
      <c r="F5" s="3"/>
      <c r="G5" s="3"/>
      <c r="H5" s="3"/>
      <c r="I5" s="4"/>
      <c r="J5" s="3"/>
      <c r="K5" s="3"/>
      <c r="L5" s="3"/>
      <c r="M5" s="3"/>
      <c r="N5" s="3"/>
      <c r="O5" s="3"/>
      <c r="P5" s="3"/>
    </row>
    <row r="6" spans="1:18" ht="15.6" x14ac:dyDescent="0.3">
      <c r="A6" s="3"/>
      <c r="B6" s="5"/>
      <c r="C6" s="3"/>
      <c r="D6" s="3"/>
      <c r="E6" s="3"/>
      <c r="F6" s="3"/>
      <c r="G6" s="3"/>
      <c r="H6" s="3"/>
      <c r="I6" s="4"/>
      <c r="J6" s="3"/>
      <c r="K6" s="3"/>
      <c r="L6" s="3"/>
      <c r="M6" s="3"/>
      <c r="N6" s="3"/>
      <c r="O6" s="3"/>
      <c r="P6" s="3"/>
    </row>
    <row r="7" spans="1:18" ht="15.6" x14ac:dyDescent="0.3">
      <c r="A7" s="10" t="s">
        <v>6</v>
      </c>
      <c r="B7" s="11"/>
      <c r="C7" s="12" t="s">
        <v>7</v>
      </c>
      <c r="D7" s="3"/>
      <c r="E7" s="12" t="s">
        <v>8</v>
      </c>
      <c r="F7" s="12" t="s">
        <v>34</v>
      </c>
      <c r="G7" s="3"/>
      <c r="H7" s="67" t="s">
        <v>7</v>
      </c>
      <c r="I7" s="67"/>
      <c r="J7" s="12" t="s">
        <v>8</v>
      </c>
      <c r="K7" s="3"/>
      <c r="L7" s="3"/>
      <c r="M7" s="3"/>
      <c r="N7" s="3"/>
      <c r="O7" s="3"/>
      <c r="P7" s="3"/>
    </row>
    <row r="8" spans="1:18" ht="15.6" x14ac:dyDescent="0.3">
      <c r="A8" s="13">
        <v>1</v>
      </c>
      <c r="B8" s="5" t="s">
        <v>9</v>
      </c>
      <c r="C8" s="14" t="s">
        <v>35</v>
      </c>
      <c r="D8" s="15"/>
      <c r="E8" s="35">
        <v>9.25</v>
      </c>
      <c r="F8" s="16">
        <v>66</v>
      </c>
      <c r="G8" s="11">
        <v>9</v>
      </c>
      <c r="H8" s="14" t="s">
        <v>40</v>
      </c>
      <c r="I8" s="8"/>
      <c r="J8" s="35">
        <v>9.25</v>
      </c>
      <c r="K8" s="3"/>
      <c r="L8" s="3"/>
      <c r="M8" s="3"/>
      <c r="N8" s="3"/>
      <c r="O8" s="3"/>
      <c r="P8" s="3"/>
    </row>
    <row r="9" spans="1:18" ht="15.6" x14ac:dyDescent="0.3">
      <c r="A9" s="13">
        <v>2</v>
      </c>
      <c r="B9" s="5" t="s">
        <v>10</v>
      </c>
      <c r="C9" s="14" t="s">
        <v>37</v>
      </c>
      <c r="D9" s="8"/>
      <c r="E9" s="35">
        <v>9.25</v>
      </c>
      <c r="F9" s="16"/>
      <c r="G9" s="11">
        <v>10</v>
      </c>
      <c r="H9" s="14"/>
      <c r="I9" s="8"/>
      <c r="J9" s="39"/>
      <c r="K9" s="3"/>
      <c r="L9" s="3"/>
      <c r="M9" s="3"/>
      <c r="N9" s="3"/>
      <c r="O9" s="3"/>
      <c r="P9" s="3"/>
    </row>
    <row r="10" spans="1:18" ht="15.6" x14ac:dyDescent="0.3">
      <c r="A10" s="13">
        <v>3</v>
      </c>
      <c r="B10" s="5" t="s">
        <v>11</v>
      </c>
      <c r="C10" s="14" t="s">
        <v>36</v>
      </c>
      <c r="D10" s="8"/>
      <c r="E10" s="35">
        <v>9.25</v>
      </c>
      <c r="F10" s="16">
        <v>78</v>
      </c>
      <c r="G10" s="11">
        <v>11</v>
      </c>
      <c r="H10" s="3"/>
      <c r="I10" s="8"/>
      <c r="J10" s="39"/>
      <c r="K10" s="3"/>
      <c r="L10" s="3"/>
      <c r="M10" s="3"/>
      <c r="N10" s="3"/>
      <c r="O10" s="3"/>
      <c r="P10" s="3"/>
    </row>
    <row r="11" spans="1:18" ht="15.6" x14ac:dyDescent="0.3">
      <c r="A11" s="13">
        <v>4</v>
      </c>
      <c r="B11" s="5" t="s">
        <v>12</v>
      </c>
      <c r="C11" s="14" t="s">
        <v>29</v>
      </c>
      <c r="D11" s="8"/>
      <c r="E11" s="35">
        <v>9.25</v>
      </c>
      <c r="F11" s="16"/>
      <c r="G11" s="11">
        <v>12</v>
      </c>
      <c r="H11" s="3"/>
      <c r="I11" s="8"/>
      <c r="J11" s="39"/>
      <c r="K11" s="3"/>
      <c r="L11" s="3"/>
      <c r="M11" s="3"/>
      <c r="N11" s="3"/>
      <c r="O11" s="3"/>
      <c r="P11" s="3"/>
    </row>
    <row r="12" spans="1:18" ht="15.6" x14ac:dyDescent="0.3">
      <c r="A12" s="13">
        <v>5</v>
      </c>
      <c r="B12" s="3"/>
      <c r="C12" s="31" t="s">
        <v>30</v>
      </c>
      <c r="D12" s="8"/>
      <c r="E12" s="35">
        <v>9.25</v>
      </c>
      <c r="F12" s="16"/>
      <c r="G12" s="11">
        <v>13</v>
      </c>
      <c r="H12" s="3"/>
      <c r="I12" s="8"/>
      <c r="J12" s="39"/>
      <c r="K12" s="3"/>
      <c r="L12" s="3"/>
      <c r="M12" s="3"/>
      <c r="N12" s="3"/>
      <c r="O12" s="3"/>
      <c r="P12" s="3"/>
    </row>
    <row r="13" spans="1:18" ht="15.6" x14ac:dyDescent="0.3">
      <c r="A13" s="13">
        <v>6</v>
      </c>
      <c r="B13" s="3"/>
      <c r="C13" s="14" t="s">
        <v>31</v>
      </c>
      <c r="D13" s="8"/>
      <c r="E13" s="35">
        <v>9.25</v>
      </c>
      <c r="F13" s="16">
        <v>74</v>
      </c>
      <c r="G13" s="11">
        <v>14</v>
      </c>
      <c r="H13" s="18"/>
      <c r="I13" s="8"/>
      <c r="J13" s="39"/>
      <c r="K13" s="3"/>
      <c r="L13" s="3"/>
      <c r="M13" s="3"/>
      <c r="N13" s="3"/>
      <c r="O13" s="3"/>
      <c r="P13" s="3"/>
    </row>
    <row r="14" spans="1:18" ht="15.6" x14ac:dyDescent="0.3">
      <c r="A14" s="13">
        <v>7</v>
      </c>
      <c r="B14" s="5" t="s">
        <v>52</v>
      </c>
      <c r="C14" s="14" t="s">
        <v>39</v>
      </c>
      <c r="D14" s="8"/>
      <c r="E14" s="35">
        <v>9.25</v>
      </c>
      <c r="F14" s="16"/>
      <c r="G14" s="11">
        <v>15</v>
      </c>
      <c r="H14" s="3"/>
      <c r="I14" s="8"/>
      <c r="J14" s="39"/>
      <c r="K14" s="3"/>
      <c r="L14" s="3"/>
      <c r="M14" s="3"/>
      <c r="N14" s="3"/>
      <c r="O14" s="3"/>
      <c r="P14" s="3"/>
    </row>
    <row r="15" spans="1:18" ht="15.6" x14ac:dyDescent="0.3">
      <c r="A15" s="13">
        <v>8</v>
      </c>
      <c r="B15" s="3"/>
      <c r="C15" s="14" t="s">
        <v>38</v>
      </c>
      <c r="D15" s="8"/>
      <c r="E15" s="35">
        <v>9.25</v>
      </c>
      <c r="F15" s="16"/>
      <c r="G15" s="11">
        <v>16</v>
      </c>
      <c r="H15" s="3"/>
      <c r="I15" s="8"/>
      <c r="J15" s="39"/>
      <c r="K15" s="3"/>
      <c r="L15" s="3"/>
      <c r="M15" s="3"/>
      <c r="N15" s="3"/>
      <c r="O15" s="3"/>
      <c r="P15" s="3"/>
    </row>
    <row r="16" spans="1:18" ht="15.6" x14ac:dyDescent="0.3">
      <c r="A16" s="3"/>
      <c r="B16" s="3"/>
      <c r="C16" s="3"/>
      <c r="D16" s="3"/>
      <c r="E16" s="3"/>
      <c r="F16" s="3"/>
      <c r="G16" s="13"/>
      <c r="H16" s="7" t="s">
        <v>13</v>
      </c>
      <c r="I16" s="3"/>
      <c r="J16" s="8">
        <f>SUM(E8:E15)+SUM(J8:J15)</f>
        <v>83.25</v>
      </c>
      <c r="K16" s="3"/>
      <c r="L16" s="3"/>
      <c r="M16" s="3"/>
      <c r="N16" s="3"/>
      <c r="O16" s="3"/>
      <c r="P16" s="3"/>
    </row>
    <row r="17" spans="1:16" ht="15.6" x14ac:dyDescent="0.3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  <c r="L17" s="3"/>
      <c r="M17" s="3"/>
      <c r="N17" s="3"/>
      <c r="O17" s="3"/>
      <c r="P17" s="3"/>
    </row>
    <row r="18" spans="1:16" ht="93.6" x14ac:dyDescent="0.3">
      <c r="A18" s="19"/>
      <c r="B18" s="20" t="s">
        <v>14</v>
      </c>
      <c r="C18" s="21" t="s">
        <v>15</v>
      </c>
      <c r="D18" s="22" t="s">
        <v>16</v>
      </c>
      <c r="E18" s="22" t="s">
        <v>17</v>
      </c>
      <c r="F18" s="22" t="s">
        <v>18</v>
      </c>
      <c r="G18" s="22" t="s">
        <v>19</v>
      </c>
      <c r="H18" s="22" t="s">
        <v>18</v>
      </c>
      <c r="I18" s="22" t="s">
        <v>19</v>
      </c>
      <c r="J18" s="22" t="s">
        <v>20</v>
      </c>
      <c r="K18" s="23" t="s">
        <v>21</v>
      </c>
      <c r="L18" s="24"/>
      <c r="M18" s="23" t="s">
        <v>22</v>
      </c>
      <c r="N18" s="23" t="s">
        <v>23</v>
      </c>
      <c r="O18" s="23" t="s">
        <v>24</v>
      </c>
      <c r="P18" s="23" t="s">
        <v>25</v>
      </c>
    </row>
    <row r="19" spans="1:16" ht="15.6" x14ac:dyDescent="0.3">
      <c r="A19" s="19"/>
      <c r="B19" s="19"/>
      <c r="C19" s="24"/>
      <c r="D19" s="24"/>
      <c r="E19" s="24"/>
      <c r="F19" s="24"/>
      <c r="G19" s="24"/>
      <c r="H19" s="24"/>
      <c r="I19" s="24"/>
      <c r="J19" s="24"/>
      <c r="K19" s="25"/>
      <c r="L19" s="24"/>
      <c r="M19" s="3"/>
      <c r="N19" s="3"/>
      <c r="O19" s="3"/>
      <c r="P19" s="3"/>
    </row>
    <row r="20" spans="1:16" ht="15.6" x14ac:dyDescent="0.3">
      <c r="A20" s="3"/>
      <c r="B20" s="8" t="s">
        <v>26</v>
      </c>
      <c r="C20" s="8">
        <v>1</v>
      </c>
      <c r="D20" s="8">
        <v>1</v>
      </c>
      <c r="E20" s="8"/>
      <c r="F20" s="8"/>
      <c r="G20" s="35">
        <v>0</v>
      </c>
      <c r="H20" s="8"/>
      <c r="I20" s="16"/>
      <c r="J20" s="35">
        <f>F20*G20+H20*I20</f>
        <v>0</v>
      </c>
      <c r="K20" s="16" t="e">
        <f>E20/(J20)</f>
        <v>#DIV/0!</v>
      </c>
      <c r="L20" s="3"/>
      <c r="M20" s="26">
        <v>0</v>
      </c>
      <c r="N20" s="27">
        <f>M20/C20</f>
        <v>0</v>
      </c>
      <c r="O20" s="35">
        <f>J20+'6-16-22'!O20</f>
        <v>108</v>
      </c>
      <c r="P20" s="26">
        <f>M20/O20</f>
        <v>0</v>
      </c>
    </row>
    <row r="21" spans="1:16" ht="15.6" x14ac:dyDescent="0.3">
      <c r="A21" s="3"/>
      <c r="B21" s="3"/>
      <c r="C21" s="3"/>
      <c r="D21" s="3"/>
      <c r="E21" s="3"/>
      <c r="F21" s="3"/>
      <c r="G21" s="40"/>
      <c r="H21" s="3"/>
      <c r="I21" s="28"/>
      <c r="J21" s="40"/>
      <c r="K21" s="28"/>
      <c r="L21" s="3"/>
      <c r="M21" s="29"/>
      <c r="N21" s="3"/>
      <c r="O21" s="3"/>
      <c r="P21" s="3"/>
    </row>
    <row r="22" spans="1:16" ht="15.6" x14ac:dyDescent="0.3">
      <c r="A22" s="3"/>
      <c r="B22" s="8" t="s">
        <v>53</v>
      </c>
      <c r="C22" s="8">
        <v>125400</v>
      </c>
      <c r="D22" s="41"/>
      <c r="E22" s="41"/>
      <c r="F22" s="8"/>
      <c r="G22" s="35"/>
      <c r="H22" s="8"/>
      <c r="I22" s="16"/>
      <c r="J22" s="35">
        <f>F22*G22+H22*I22</f>
        <v>0</v>
      </c>
      <c r="K22" s="16" t="e">
        <f>E22/(J22)</f>
        <v>#DIV/0!</v>
      </c>
      <c r="L22" s="3"/>
      <c r="M22" s="26">
        <f>E22+'6-16-22'!M22</f>
        <v>125400</v>
      </c>
      <c r="N22" s="27">
        <f>M22/C22</f>
        <v>1</v>
      </c>
      <c r="O22" s="35">
        <f>J22+'6-16-22'!O22</f>
        <v>679.75</v>
      </c>
      <c r="P22" s="26">
        <f>M22/O22</f>
        <v>184.47958808385437</v>
      </c>
    </row>
    <row r="23" spans="1:16" ht="15.6" x14ac:dyDescent="0.3">
      <c r="A23" s="3"/>
      <c r="B23" s="3"/>
      <c r="C23" s="3"/>
      <c r="D23" s="3"/>
      <c r="E23" s="3"/>
      <c r="F23" s="3"/>
      <c r="G23" s="40"/>
      <c r="H23" s="3"/>
      <c r="I23" s="28"/>
      <c r="J23" s="40"/>
      <c r="K23" s="28"/>
      <c r="L23" s="3"/>
      <c r="M23" s="29"/>
      <c r="N23" s="3"/>
      <c r="O23" s="36"/>
      <c r="P23" s="29"/>
    </row>
    <row r="24" spans="1:16" ht="15.6" x14ac:dyDescent="0.3">
      <c r="A24" s="3"/>
      <c r="B24" s="8" t="s">
        <v>54</v>
      </c>
      <c r="C24" s="8">
        <v>125400</v>
      </c>
      <c r="D24" s="8"/>
      <c r="E24" s="8"/>
      <c r="F24" s="8"/>
      <c r="G24" s="35"/>
      <c r="H24" s="8"/>
      <c r="I24" s="16"/>
      <c r="J24" s="35">
        <f>F24*G24+H24*I24</f>
        <v>0</v>
      </c>
      <c r="K24" s="16" t="e">
        <f>E24/(J24)</f>
        <v>#DIV/0!</v>
      </c>
      <c r="L24" s="3"/>
      <c r="M24" s="26">
        <f>E24+'6-16-22'!M24</f>
        <v>125400</v>
      </c>
      <c r="N24" s="27">
        <f>M24/C24</f>
        <v>1</v>
      </c>
      <c r="O24" s="35">
        <f>J24+'6-16-22'!O24</f>
        <v>449.75</v>
      </c>
      <c r="P24" s="26">
        <f>M24/O24</f>
        <v>278.82156753752082</v>
      </c>
    </row>
    <row r="25" spans="1:16" ht="15.6" x14ac:dyDescent="0.3">
      <c r="A25" s="3"/>
      <c r="B25" s="3"/>
      <c r="C25" s="3"/>
      <c r="D25" s="3"/>
      <c r="E25" s="3"/>
      <c r="F25" s="3"/>
      <c r="G25" s="36"/>
      <c r="H25" s="3"/>
      <c r="I25" s="4"/>
      <c r="J25" s="36"/>
      <c r="K25" s="4"/>
      <c r="L25" s="3"/>
      <c r="M25" s="29"/>
      <c r="N25" s="3"/>
      <c r="O25" s="3"/>
      <c r="P25" s="3"/>
    </row>
    <row r="26" spans="1:16" ht="15.6" x14ac:dyDescent="0.3">
      <c r="A26" s="3"/>
      <c r="B26" s="8" t="s">
        <v>44</v>
      </c>
      <c r="C26" s="8">
        <v>3040</v>
      </c>
      <c r="D26" s="8"/>
      <c r="E26" s="8"/>
      <c r="F26" s="8"/>
      <c r="G26" s="35"/>
      <c r="H26" s="8"/>
      <c r="I26" s="16"/>
      <c r="J26" s="35">
        <f>F26*G26+H26*I26</f>
        <v>0</v>
      </c>
      <c r="K26" s="16" t="e">
        <f>E26/(J26)</f>
        <v>#DIV/0!</v>
      </c>
      <c r="L26" s="3"/>
      <c r="M26" s="26">
        <f>E26+'6-16-22'!M26</f>
        <v>1516</v>
      </c>
      <c r="N26" s="27">
        <f>M26/C26</f>
        <v>0.49868421052631579</v>
      </c>
      <c r="O26" s="35">
        <f>J26+'6-16-22'!O26</f>
        <v>101</v>
      </c>
      <c r="P26" s="26">
        <f>M26/O26</f>
        <v>15.009900990099009</v>
      </c>
    </row>
    <row r="27" spans="1:16" ht="15.6" x14ac:dyDescent="0.3">
      <c r="A27" s="3"/>
      <c r="B27" s="3"/>
      <c r="C27" s="3"/>
      <c r="D27" s="3"/>
      <c r="E27" s="3"/>
      <c r="F27" s="3"/>
      <c r="G27" s="36"/>
      <c r="H27" s="3"/>
      <c r="I27" s="4"/>
      <c r="J27" s="36"/>
      <c r="K27" s="4"/>
      <c r="L27" s="3"/>
      <c r="M27" s="29"/>
      <c r="N27" s="3"/>
      <c r="O27" s="3"/>
      <c r="P27" s="3"/>
    </row>
    <row r="28" spans="1:16" ht="15.6" x14ac:dyDescent="0.3">
      <c r="A28" s="3"/>
      <c r="B28" s="8" t="s">
        <v>45</v>
      </c>
      <c r="C28" s="8">
        <v>3040</v>
      </c>
      <c r="D28" s="8" t="s">
        <v>174</v>
      </c>
      <c r="E28" s="8"/>
      <c r="F28" s="8">
        <v>6</v>
      </c>
      <c r="G28" s="35">
        <v>3</v>
      </c>
      <c r="H28" s="8">
        <v>9</v>
      </c>
      <c r="I28" s="35">
        <v>3.25</v>
      </c>
      <c r="J28" s="35">
        <f>F28*G28+H28*I28</f>
        <v>47.25</v>
      </c>
      <c r="K28" s="16">
        <f>E28/(J28)</f>
        <v>0</v>
      </c>
      <c r="L28" s="3"/>
      <c r="M28" s="26">
        <f>E28+'6-16-22'!M28</f>
        <v>853</v>
      </c>
      <c r="N28" s="27">
        <f>M28/C28</f>
        <v>0.28059210526315792</v>
      </c>
      <c r="O28" s="35">
        <f>J28+'6-16-22'!O28</f>
        <v>208</v>
      </c>
      <c r="P28" s="26">
        <f>M28/O28</f>
        <v>4.1009615384615383</v>
      </c>
    </row>
    <row r="29" spans="1:16" ht="15.6" x14ac:dyDescent="0.3">
      <c r="A29" s="3"/>
      <c r="B29" s="3"/>
      <c r="C29" s="3"/>
      <c r="D29" s="3"/>
      <c r="E29" s="3"/>
      <c r="F29" s="3"/>
      <c r="G29" s="36"/>
      <c r="H29" s="3"/>
      <c r="I29" s="4"/>
      <c r="J29" s="36"/>
      <c r="K29" s="4"/>
      <c r="L29" s="3"/>
      <c r="M29" s="29"/>
      <c r="N29" s="3"/>
      <c r="O29" s="3"/>
      <c r="P29" s="3"/>
    </row>
    <row r="30" spans="1:16" ht="15.6" x14ac:dyDescent="0.3">
      <c r="A30" s="3"/>
      <c r="B30" s="8" t="s">
        <v>47</v>
      </c>
      <c r="C30" s="8">
        <v>125400</v>
      </c>
      <c r="D30" s="8"/>
      <c r="E30" s="8">
        <v>11220</v>
      </c>
      <c r="F30" s="8">
        <v>9</v>
      </c>
      <c r="G30" s="35">
        <v>3</v>
      </c>
      <c r="H30" s="8"/>
      <c r="I30" s="35"/>
      <c r="J30" s="35">
        <f>F30*G30+H30*I30</f>
        <v>27</v>
      </c>
      <c r="K30" s="16">
        <f>E30/(J30)</f>
        <v>415.55555555555554</v>
      </c>
      <c r="L30" s="3"/>
      <c r="M30" s="26">
        <f>E30+'6-16-22'!M30</f>
        <v>84150</v>
      </c>
      <c r="N30" s="27">
        <f>M30/C30</f>
        <v>0.67105263157894735</v>
      </c>
      <c r="O30" s="35">
        <f>J30+'6-16-22'!O30</f>
        <v>504.75</v>
      </c>
      <c r="P30" s="26">
        <f>M30/O30</f>
        <v>166.71619613670134</v>
      </c>
    </row>
    <row r="31" spans="1:16" ht="15.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7"/>
      <c r="O31" s="3"/>
      <c r="P31" s="3"/>
    </row>
    <row r="32" spans="1:16" ht="15.6" x14ac:dyDescent="0.3">
      <c r="A32" s="3"/>
      <c r="B32" s="8" t="s">
        <v>46</v>
      </c>
      <c r="C32" s="8">
        <v>324</v>
      </c>
      <c r="D32" s="8"/>
      <c r="E32" s="8"/>
      <c r="F32" s="8"/>
      <c r="G32" s="35"/>
      <c r="H32" s="8"/>
      <c r="I32" s="16"/>
      <c r="J32" s="35">
        <f>F32*G32+H32*I32</f>
        <v>0</v>
      </c>
      <c r="K32" s="16" t="e">
        <f>E32/(J32)</f>
        <v>#DIV/0!</v>
      </c>
      <c r="L32" s="3"/>
      <c r="M32" s="26">
        <f>E32+'6-16-22'!M32</f>
        <v>0</v>
      </c>
      <c r="N32" s="27">
        <f>M32/C32</f>
        <v>0</v>
      </c>
      <c r="O32" s="35">
        <f>J32+'6-16-22'!O32</f>
        <v>0</v>
      </c>
      <c r="P32" s="26" t="e">
        <f>M32/O32</f>
        <v>#DIV/0!</v>
      </c>
    </row>
    <row r="33" spans="1:16" ht="15.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7"/>
      <c r="O33" s="3"/>
      <c r="P33" s="3"/>
    </row>
    <row r="34" spans="1:16" ht="15.6" x14ac:dyDescent="0.3">
      <c r="A34" s="3"/>
      <c r="B34" s="8" t="s">
        <v>48</v>
      </c>
      <c r="C34" s="8">
        <v>115000</v>
      </c>
      <c r="D34" s="8"/>
      <c r="E34" s="8"/>
      <c r="F34" s="8"/>
      <c r="G34" s="35"/>
      <c r="H34" s="8"/>
      <c r="I34" s="16"/>
      <c r="J34" s="35">
        <f>F34*G34+H34*I34</f>
        <v>0</v>
      </c>
      <c r="K34" s="16" t="e">
        <f>E34/(J34)</f>
        <v>#DIV/0!</v>
      </c>
      <c r="L34" s="3"/>
      <c r="M34" s="26">
        <f>E34+'6-16-22'!M34</f>
        <v>0</v>
      </c>
      <c r="N34" s="27">
        <f>M34/C34</f>
        <v>0</v>
      </c>
      <c r="O34" s="35">
        <f>J34+'6-16-22'!O34</f>
        <v>0</v>
      </c>
      <c r="P34" s="26" t="e">
        <f>M34/O34</f>
        <v>#DIV/0!</v>
      </c>
    </row>
    <row r="35" spans="1:16" ht="15.6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27"/>
      <c r="O35" s="3"/>
      <c r="P35" s="3"/>
    </row>
    <row r="36" spans="1:16" ht="15.6" x14ac:dyDescent="0.3">
      <c r="A36" s="3"/>
      <c r="B36" s="8" t="s">
        <v>49</v>
      </c>
      <c r="C36" s="8">
        <v>8</v>
      </c>
      <c r="D36" s="8"/>
      <c r="E36" s="8"/>
      <c r="F36" s="8"/>
      <c r="G36" s="35"/>
      <c r="H36" s="8"/>
      <c r="I36" s="16"/>
      <c r="J36" s="35">
        <f>F36*G36+H36*I36</f>
        <v>0</v>
      </c>
      <c r="K36" s="16" t="e">
        <f>E36/(J36)</f>
        <v>#DIV/0!</v>
      </c>
      <c r="L36" s="3"/>
      <c r="M36" s="26">
        <f>E36+'6-16-22'!M36</f>
        <v>0</v>
      </c>
      <c r="N36" s="27">
        <f>M36/C36</f>
        <v>0</v>
      </c>
      <c r="O36" s="35">
        <f>J36+'6-16-22'!O36</f>
        <v>24</v>
      </c>
      <c r="P36" s="26">
        <f>M36/O36</f>
        <v>0</v>
      </c>
    </row>
    <row r="37" spans="1:16" ht="15.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27"/>
      <c r="O37" s="3"/>
      <c r="P37" s="3"/>
    </row>
    <row r="38" spans="1:16" ht="15.6" x14ac:dyDescent="0.3">
      <c r="A38" s="3"/>
      <c r="B38" s="8" t="s">
        <v>50</v>
      </c>
      <c r="C38" s="8">
        <f>2760+480</f>
        <v>3240</v>
      </c>
      <c r="D38" s="8"/>
      <c r="E38" s="8">
        <v>450</v>
      </c>
      <c r="F38" s="8">
        <v>3</v>
      </c>
      <c r="G38" s="35">
        <v>3</v>
      </c>
      <c r="H38" s="8"/>
      <c r="I38" s="16"/>
      <c r="J38" s="35">
        <f>F38*G38+H38*I38</f>
        <v>9</v>
      </c>
      <c r="K38" s="16">
        <f>E38/(J38)</f>
        <v>50</v>
      </c>
      <c r="L38" s="3"/>
      <c r="M38" s="26">
        <f>E38+'6-16-22'!M38</f>
        <v>1005</v>
      </c>
      <c r="N38" s="27">
        <f>M38/C38</f>
        <v>0.31018518518518517</v>
      </c>
      <c r="O38" s="35">
        <f>J38+'6-16-22'!O38</f>
        <v>53.25</v>
      </c>
      <c r="P38" s="26">
        <f>M38/O38</f>
        <v>18.87323943661972</v>
      </c>
    </row>
    <row r="39" spans="1:16" ht="15.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7"/>
      <c r="O39" s="3"/>
      <c r="P39" s="3"/>
    </row>
    <row r="40" spans="1:16" ht="15.6" x14ac:dyDescent="0.3">
      <c r="A40" s="3"/>
      <c r="B40" s="8" t="s">
        <v>115</v>
      </c>
      <c r="C40" s="8">
        <v>25</v>
      </c>
      <c r="D40" s="8"/>
      <c r="E40" s="8"/>
      <c r="F40" s="8"/>
      <c r="G40" s="35"/>
      <c r="H40" s="8"/>
      <c r="I40" s="16"/>
      <c r="J40" s="35">
        <f>F40*G40+H40*I40</f>
        <v>0</v>
      </c>
      <c r="K40" s="16" t="e">
        <f>E40/(J40)</f>
        <v>#DIV/0!</v>
      </c>
      <c r="L40" s="3"/>
      <c r="M40" s="26">
        <f>E40+'6-16-22'!M40</f>
        <v>0</v>
      </c>
      <c r="N40" s="27">
        <f>M40/C40</f>
        <v>0</v>
      </c>
      <c r="O40" s="35">
        <f>J40+'6-16-22'!O40</f>
        <v>0</v>
      </c>
      <c r="P40" s="26" t="e">
        <f>M40/O40</f>
        <v>#DIV/0!</v>
      </c>
    </row>
    <row r="41" spans="1:16" ht="15.6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27"/>
      <c r="O41" s="3"/>
      <c r="P41" s="3"/>
    </row>
    <row r="42" spans="1:16" ht="15.6" x14ac:dyDescent="0.3">
      <c r="A42" s="3"/>
      <c r="B42" s="8" t="s">
        <v>113</v>
      </c>
      <c r="C42" s="8" t="s">
        <v>52</v>
      </c>
      <c r="D42" s="8"/>
      <c r="E42" s="8"/>
      <c r="F42" s="8"/>
      <c r="G42" s="35"/>
      <c r="H42" s="8"/>
      <c r="I42" s="16"/>
      <c r="J42" s="35">
        <f>F42*G42+H42*I42</f>
        <v>0</v>
      </c>
      <c r="K42" s="16" t="e">
        <f>E42/(J42)</f>
        <v>#DIV/0!</v>
      </c>
      <c r="L42" s="3"/>
      <c r="M42" s="26">
        <f>E42+'6-16-22'!M42</f>
        <v>0</v>
      </c>
      <c r="N42" s="53" t="e">
        <f>M42/C42</f>
        <v>#VALUE!</v>
      </c>
      <c r="O42" s="35">
        <f>J42+'6-16-22'!O42</f>
        <v>0</v>
      </c>
      <c r="P42" s="26" t="e">
        <f>M42/O42</f>
        <v>#DIV/0!</v>
      </c>
    </row>
    <row r="43" spans="1:16" ht="15.6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27"/>
      <c r="O43" s="3"/>
      <c r="P43" s="3"/>
    </row>
    <row r="44" spans="1:16" ht="15.6" x14ac:dyDescent="0.3">
      <c r="A44" s="3"/>
      <c r="B44" s="8" t="s">
        <v>114</v>
      </c>
      <c r="C44" s="8" t="s">
        <v>52</v>
      </c>
      <c r="D44" s="8"/>
      <c r="E44" s="8"/>
      <c r="F44" s="8"/>
      <c r="G44" s="35"/>
      <c r="H44" s="8"/>
      <c r="I44" s="16"/>
      <c r="J44" s="35">
        <f>F44*G44+H44*I44</f>
        <v>0</v>
      </c>
      <c r="K44" s="16" t="e">
        <f>E44/(J44)</f>
        <v>#DIV/0!</v>
      </c>
      <c r="L44" s="3"/>
      <c r="M44" s="26" t="e">
        <f>E44+'6-16-22'!M44</f>
        <v>#VALUE!</v>
      </c>
      <c r="N44" s="53" t="e">
        <f>M44/C44</f>
        <v>#VALUE!</v>
      </c>
      <c r="O44" s="35">
        <f>J44+'6-16-22'!O44</f>
        <v>99</v>
      </c>
      <c r="P44" s="26" t="e">
        <f>M44/O44</f>
        <v>#VALUE!</v>
      </c>
    </row>
    <row r="45" spans="1:16" ht="15.6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27"/>
      <c r="O45" s="3"/>
      <c r="P45" s="3"/>
    </row>
    <row r="46" spans="1:16" ht="15.6" x14ac:dyDescent="0.3">
      <c r="A46" s="3"/>
      <c r="B46" s="8" t="s">
        <v>75</v>
      </c>
      <c r="C46" s="8"/>
      <c r="D46" s="8" t="s">
        <v>52</v>
      </c>
      <c r="E46" s="8"/>
      <c r="F46" s="8"/>
      <c r="G46" s="35"/>
      <c r="H46" s="8"/>
      <c r="I46" s="16"/>
      <c r="J46" s="35">
        <f>F46*G46+H46*I46</f>
        <v>0</v>
      </c>
      <c r="K46" s="16" t="e">
        <f>E46/(J46)</f>
        <v>#DIV/0!</v>
      </c>
      <c r="L46" s="3"/>
      <c r="M46" s="26">
        <f>E46+'6-16-22'!M46</f>
        <v>0</v>
      </c>
      <c r="N46" s="53" t="e">
        <f>M46/C46</f>
        <v>#DIV/0!</v>
      </c>
      <c r="O46" s="35">
        <f>J46+'6-16-22'!O46</f>
        <v>225.75</v>
      </c>
      <c r="P46" s="26">
        <f>M46/O46</f>
        <v>0</v>
      </c>
    </row>
    <row r="47" spans="1:16" ht="15.6" x14ac:dyDescent="0.3">
      <c r="A47" s="3"/>
      <c r="B47" s="3" t="s">
        <v>27</v>
      </c>
      <c r="C47" s="3"/>
      <c r="D47" s="3" t="s">
        <v>52</v>
      </c>
      <c r="E47" s="3"/>
      <c r="F47" s="3"/>
      <c r="G47" s="3"/>
      <c r="H47" s="30"/>
      <c r="I47" s="4"/>
      <c r="J47" s="3">
        <f>J20+J22+J24+J26+J28+J30+J32+J34+J36+J38+J40+J42+J44+J46</f>
        <v>83.25</v>
      </c>
      <c r="K47" s="3"/>
      <c r="L47" s="3"/>
      <c r="M47" s="3"/>
      <c r="N47" s="3"/>
      <c r="O47" s="3">
        <f>O20+O22+O24+O26+O28+O30+O32+O34+O36+O38+O40+O42+O44+O46</f>
        <v>2453.25</v>
      </c>
      <c r="P47" s="3"/>
    </row>
    <row r="48" spans="1:16" ht="15.6" x14ac:dyDescent="0.3">
      <c r="A48" s="3"/>
      <c r="B48" s="3"/>
      <c r="C48" s="3"/>
      <c r="D48" s="3"/>
      <c r="E48" s="3"/>
      <c r="F48" s="3"/>
      <c r="G48" s="3"/>
      <c r="H48" s="3"/>
      <c r="I48" s="4"/>
      <c r="J48" s="3"/>
      <c r="K48" s="3"/>
      <c r="L48" s="3"/>
      <c r="M48" s="3"/>
      <c r="N48" s="3"/>
      <c r="O48" s="3"/>
      <c r="P48" s="3"/>
    </row>
    <row r="49" spans="1:16" ht="15.6" x14ac:dyDescent="0.3">
      <c r="A49" s="3"/>
      <c r="B49" s="3" t="s">
        <v>28</v>
      </c>
      <c r="C49" s="3" t="s">
        <v>177</v>
      </c>
      <c r="D49" s="3"/>
      <c r="E49" s="3"/>
      <c r="F49" s="3"/>
      <c r="G49" s="3"/>
      <c r="H49" s="3"/>
      <c r="I49" s="4"/>
      <c r="J49" s="3"/>
      <c r="K49" s="3"/>
      <c r="L49" s="3"/>
      <c r="M49" s="3"/>
      <c r="N49" s="3"/>
      <c r="O49" s="3"/>
      <c r="P49" s="3"/>
    </row>
    <row r="50" spans="1:16" ht="15.6" x14ac:dyDescent="0.3">
      <c r="C50" s="33"/>
    </row>
    <row r="51" spans="1:16" ht="15.6" x14ac:dyDescent="0.3">
      <c r="B51" s="3" t="s">
        <v>32</v>
      </c>
      <c r="C51" s="33" t="s">
        <v>175</v>
      </c>
    </row>
    <row r="52" spans="1:16" ht="15.6" x14ac:dyDescent="0.3">
      <c r="C52" s="33"/>
    </row>
    <row r="53" spans="1:16" ht="15.6" x14ac:dyDescent="0.3">
      <c r="B53" s="3" t="s">
        <v>33</v>
      </c>
      <c r="C53" s="3" t="s">
        <v>176</v>
      </c>
    </row>
    <row r="54" spans="1:16" ht="15.6" x14ac:dyDescent="0.3">
      <c r="C54" s="33"/>
    </row>
    <row r="55" spans="1:16" ht="15.6" x14ac:dyDescent="0.3">
      <c r="C55" s="33" t="s">
        <v>52</v>
      </c>
    </row>
    <row r="57" spans="1:16" x14ac:dyDescent="0.3">
      <c r="C57" t="s">
        <v>52</v>
      </c>
      <c r="D57" t="s">
        <v>52</v>
      </c>
    </row>
    <row r="58" spans="1:16" x14ac:dyDescent="0.3">
      <c r="C58" t="s">
        <v>52</v>
      </c>
      <c r="D58" t="s">
        <v>52</v>
      </c>
    </row>
  </sheetData>
  <mergeCells count="2">
    <mergeCell ref="A1:G1"/>
    <mergeCell ref="H7:I7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FC71E-9F00-4758-AAB7-296DC35B935D}">
  <dimension ref="A1:R58"/>
  <sheetViews>
    <sheetView zoomScale="85" zoomScaleNormal="85" workbookViewId="0">
      <selection activeCell="R36" sqref="R36"/>
    </sheetView>
  </sheetViews>
  <sheetFormatPr defaultRowHeight="14.4" x14ac:dyDescent="0.3"/>
  <cols>
    <col min="1" max="1" width="11.33203125" customWidth="1"/>
    <col min="2" max="2" width="29.33203125" customWidth="1"/>
    <col min="3" max="3" width="22.109375" customWidth="1"/>
    <col min="4" max="4" width="14.88671875" customWidth="1"/>
    <col min="5" max="5" width="16.6640625" customWidth="1"/>
    <col min="6" max="6" width="17.44140625" customWidth="1"/>
    <col min="8" max="8" width="20.44140625" customWidth="1"/>
    <col min="13" max="13" width="10.6640625" customWidth="1"/>
    <col min="14" max="14" width="10" bestFit="1" customWidth="1"/>
    <col min="15" max="15" width="10.6640625" customWidth="1"/>
    <col min="18" max="18" width="9.6640625" bestFit="1" customWidth="1"/>
  </cols>
  <sheetData>
    <row r="1" spans="1:18" ht="18" x14ac:dyDescent="0.35">
      <c r="A1" s="66" t="s">
        <v>0</v>
      </c>
      <c r="B1" s="66"/>
      <c r="C1" s="66"/>
      <c r="D1" s="66"/>
      <c r="E1" s="66"/>
      <c r="F1" s="66"/>
      <c r="G1" s="66"/>
      <c r="H1" s="1"/>
      <c r="I1" s="2"/>
      <c r="J1" s="1"/>
      <c r="K1" s="1"/>
      <c r="L1" s="1"/>
      <c r="M1" s="1"/>
      <c r="N1" s="1"/>
      <c r="O1" s="1"/>
      <c r="P1" s="1"/>
    </row>
    <row r="2" spans="1:18" ht="15.6" x14ac:dyDescent="0.3">
      <c r="A2" s="3"/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</row>
    <row r="3" spans="1:18" ht="15.6" x14ac:dyDescent="0.3">
      <c r="A3" s="3"/>
      <c r="B3" s="5" t="s">
        <v>1</v>
      </c>
      <c r="C3" s="6" t="s">
        <v>43</v>
      </c>
      <c r="D3" s="7"/>
      <c r="E3" s="3"/>
      <c r="F3" s="5" t="s">
        <v>2</v>
      </c>
      <c r="G3" s="8">
        <v>4355</v>
      </c>
      <c r="H3" s="5" t="s">
        <v>41</v>
      </c>
      <c r="I3" s="36">
        <v>49</v>
      </c>
      <c r="J3" s="3"/>
      <c r="K3" s="3"/>
      <c r="L3" s="3"/>
      <c r="M3" s="3" t="s">
        <v>163</v>
      </c>
      <c r="N3" s="3"/>
      <c r="O3" s="3"/>
      <c r="P3" s="3">
        <v>1</v>
      </c>
      <c r="Q3" t="s">
        <v>167</v>
      </c>
      <c r="R3" s="57">
        <v>44702</v>
      </c>
    </row>
    <row r="4" spans="1:18" ht="15.6" x14ac:dyDescent="0.3">
      <c r="A4" s="3"/>
      <c r="B4" s="5" t="s">
        <v>3</v>
      </c>
      <c r="C4" s="37">
        <v>300155</v>
      </c>
      <c r="D4" s="7"/>
      <c r="E4" s="3"/>
      <c r="F4" s="5" t="s">
        <v>4</v>
      </c>
      <c r="G4" s="56">
        <f>J16+'6-15-22'!G4</f>
        <v>2370</v>
      </c>
      <c r="H4" s="34" t="s">
        <v>42</v>
      </c>
      <c r="I4" s="4">
        <v>32</v>
      </c>
      <c r="J4" s="58">
        <f>I4/I3</f>
        <v>0.65306122448979587</v>
      </c>
      <c r="K4" s="3"/>
      <c r="L4" s="3"/>
      <c r="M4" s="3"/>
      <c r="N4" s="3"/>
      <c r="O4" s="3"/>
      <c r="P4" s="3"/>
    </row>
    <row r="5" spans="1:18" ht="15.6" x14ac:dyDescent="0.3">
      <c r="A5" s="3"/>
      <c r="B5" s="5" t="s">
        <v>5</v>
      </c>
      <c r="C5" s="38">
        <v>44728</v>
      </c>
      <c r="D5" s="3"/>
      <c r="E5" s="3"/>
      <c r="F5" s="3"/>
      <c r="G5" s="3"/>
      <c r="H5" s="3"/>
      <c r="I5" s="4"/>
      <c r="J5" s="3"/>
      <c r="K5" s="3"/>
      <c r="L5" s="3"/>
      <c r="M5" s="3"/>
      <c r="N5" s="3"/>
      <c r="O5" s="3"/>
      <c r="P5" s="3"/>
    </row>
    <row r="6" spans="1:18" ht="15.6" x14ac:dyDescent="0.3">
      <c r="A6" s="3"/>
      <c r="B6" s="5"/>
      <c r="C6" s="3"/>
      <c r="D6" s="3"/>
      <c r="E6" s="3"/>
      <c r="F6" s="3"/>
      <c r="G6" s="3"/>
      <c r="H6" s="3"/>
      <c r="I6" s="4"/>
      <c r="J6" s="3"/>
      <c r="K6" s="3"/>
      <c r="L6" s="3"/>
      <c r="M6" s="3"/>
      <c r="N6" s="3"/>
      <c r="O6" s="3"/>
      <c r="P6" s="3"/>
    </row>
    <row r="7" spans="1:18" ht="15.6" x14ac:dyDescent="0.3">
      <c r="A7" s="10" t="s">
        <v>6</v>
      </c>
      <c r="B7" s="11"/>
      <c r="C7" s="12" t="s">
        <v>7</v>
      </c>
      <c r="D7" s="3"/>
      <c r="E7" s="12" t="s">
        <v>8</v>
      </c>
      <c r="F7" s="12" t="s">
        <v>34</v>
      </c>
      <c r="G7" s="3"/>
      <c r="H7" s="67" t="s">
        <v>7</v>
      </c>
      <c r="I7" s="67"/>
      <c r="J7" s="12" t="s">
        <v>8</v>
      </c>
      <c r="K7" s="3"/>
      <c r="L7" s="3"/>
      <c r="M7" s="3"/>
      <c r="N7" s="3"/>
      <c r="O7" s="3"/>
      <c r="P7" s="3"/>
    </row>
    <row r="8" spans="1:18" ht="15.6" x14ac:dyDescent="0.3">
      <c r="A8" s="13">
        <v>1</v>
      </c>
      <c r="B8" s="5" t="s">
        <v>9</v>
      </c>
      <c r="C8" s="14" t="s">
        <v>35</v>
      </c>
      <c r="D8" s="15"/>
      <c r="E8" s="35">
        <v>9.5</v>
      </c>
      <c r="F8" s="16">
        <v>66</v>
      </c>
      <c r="G8" s="11">
        <v>9</v>
      </c>
      <c r="H8" s="14" t="s">
        <v>40</v>
      </c>
      <c r="I8" s="8"/>
      <c r="J8" s="35">
        <v>9.5</v>
      </c>
      <c r="K8" s="3"/>
      <c r="L8" s="3"/>
      <c r="M8" s="3"/>
      <c r="N8" s="3"/>
      <c r="O8" s="3"/>
      <c r="P8" s="3"/>
    </row>
    <row r="9" spans="1:18" ht="15.6" x14ac:dyDescent="0.3">
      <c r="A9" s="13">
        <v>2</v>
      </c>
      <c r="B9" s="5" t="s">
        <v>10</v>
      </c>
      <c r="C9" s="14" t="s">
        <v>37</v>
      </c>
      <c r="D9" s="8"/>
      <c r="E9" s="35">
        <v>9.5</v>
      </c>
      <c r="F9" s="16"/>
      <c r="G9" s="11">
        <v>10</v>
      </c>
      <c r="H9" s="14"/>
      <c r="I9" s="8"/>
      <c r="J9" s="39"/>
      <c r="K9" s="3"/>
      <c r="L9" s="3"/>
      <c r="M9" s="3"/>
      <c r="N9" s="3"/>
      <c r="O9" s="3"/>
      <c r="P9" s="3"/>
    </row>
    <row r="10" spans="1:18" ht="15.6" x14ac:dyDescent="0.3">
      <c r="A10" s="13">
        <v>3</v>
      </c>
      <c r="B10" s="5" t="s">
        <v>11</v>
      </c>
      <c r="C10" s="14" t="s">
        <v>36</v>
      </c>
      <c r="D10" s="8"/>
      <c r="E10" s="35">
        <v>9.5</v>
      </c>
      <c r="F10" s="16">
        <v>78</v>
      </c>
      <c r="G10" s="11">
        <v>11</v>
      </c>
      <c r="H10" s="3"/>
      <c r="I10" s="8"/>
      <c r="J10" s="39"/>
      <c r="K10" s="3"/>
      <c r="L10" s="3"/>
      <c r="M10" s="3"/>
      <c r="N10" s="3"/>
      <c r="O10" s="3"/>
      <c r="P10" s="3"/>
    </row>
    <row r="11" spans="1:18" ht="15.6" x14ac:dyDescent="0.3">
      <c r="A11" s="13">
        <v>4</v>
      </c>
      <c r="B11" s="5" t="s">
        <v>12</v>
      </c>
      <c r="C11" s="14" t="s">
        <v>29</v>
      </c>
      <c r="D11" s="8"/>
      <c r="E11" s="35">
        <v>9.5</v>
      </c>
      <c r="F11" s="16"/>
      <c r="G11" s="11">
        <v>12</v>
      </c>
      <c r="H11" s="3"/>
      <c r="I11" s="8"/>
      <c r="J11" s="39"/>
      <c r="K11" s="3"/>
      <c r="L11" s="3"/>
      <c r="M11" s="3"/>
      <c r="N11" s="3"/>
      <c r="O11" s="3"/>
      <c r="P11" s="3"/>
    </row>
    <row r="12" spans="1:18" ht="15.6" x14ac:dyDescent="0.3">
      <c r="A12" s="13">
        <v>5</v>
      </c>
      <c r="B12" s="3"/>
      <c r="C12" s="31" t="s">
        <v>30</v>
      </c>
      <c r="D12" s="8"/>
      <c r="E12" s="35">
        <v>9.5</v>
      </c>
      <c r="F12" s="16"/>
      <c r="G12" s="11">
        <v>13</v>
      </c>
      <c r="H12" s="3"/>
      <c r="I12" s="8"/>
      <c r="J12" s="39"/>
      <c r="K12" s="3"/>
      <c r="L12" s="3"/>
      <c r="M12" s="3"/>
      <c r="N12" s="3"/>
      <c r="O12" s="3"/>
      <c r="P12" s="3"/>
    </row>
    <row r="13" spans="1:18" ht="15.6" x14ac:dyDescent="0.3">
      <c r="A13" s="13">
        <v>6</v>
      </c>
      <c r="B13" s="3"/>
      <c r="C13" s="14" t="s">
        <v>31</v>
      </c>
      <c r="D13" s="8"/>
      <c r="E13" s="35">
        <v>9.5</v>
      </c>
      <c r="F13" s="16">
        <v>74</v>
      </c>
      <c r="G13" s="11">
        <v>14</v>
      </c>
      <c r="H13" s="18"/>
      <c r="I13" s="8"/>
      <c r="J13" s="39"/>
      <c r="K13" s="3"/>
      <c r="L13" s="3"/>
      <c r="M13" s="3"/>
      <c r="N13" s="3"/>
      <c r="O13" s="3"/>
      <c r="P13" s="3"/>
    </row>
    <row r="14" spans="1:18" ht="15.6" x14ac:dyDescent="0.3">
      <c r="A14" s="13">
        <v>7</v>
      </c>
      <c r="B14" s="5" t="s">
        <v>52</v>
      </c>
      <c r="C14" s="14" t="s">
        <v>39</v>
      </c>
      <c r="D14" s="8"/>
      <c r="E14" s="35">
        <v>9.5</v>
      </c>
      <c r="F14" s="16"/>
      <c r="G14" s="11">
        <v>15</v>
      </c>
      <c r="H14" s="3"/>
      <c r="I14" s="8"/>
      <c r="J14" s="39"/>
      <c r="K14" s="3"/>
      <c r="L14" s="3"/>
      <c r="M14" s="3"/>
      <c r="N14" s="3"/>
      <c r="O14" s="3"/>
      <c r="P14" s="3"/>
    </row>
    <row r="15" spans="1:18" ht="15.6" x14ac:dyDescent="0.3">
      <c r="A15" s="13">
        <v>8</v>
      </c>
      <c r="B15" s="3"/>
      <c r="C15" s="14" t="s">
        <v>38</v>
      </c>
      <c r="D15" s="8"/>
      <c r="E15" s="35">
        <v>9.5</v>
      </c>
      <c r="F15" s="16"/>
      <c r="G15" s="11">
        <v>16</v>
      </c>
      <c r="H15" s="3"/>
      <c r="I15" s="8"/>
      <c r="J15" s="39"/>
      <c r="K15" s="3"/>
      <c r="L15" s="3"/>
      <c r="M15" s="3"/>
      <c r="N15" s="3"/>
      <c r="O15" s="3"/>
      <c r="P15" s="3"/>
    </row>
    <row r="16" spans="1:18" ht="15.6" x14ac:dyDescent="0.3">
      <c r="A16" s="3"/>
      <c r="B16" s="3"/>
      <c r="C16" s="3"/>
      <c r="D16" s="3"/>
      <c r="E16" s="3"/>
      <c r="F16" s="3"/>
      <c r="G16" s="13"/>
      <c r="H16" s="7" t="s">
        <v>13</v>
      </c>
      <c r="I16" s="3"/>
      <c r="J16" s="8">
        <f>SUM(E8:E15)+SUM(J8:J15)</f>
        <v>85.5</v>
      </c>
      <c r="K16" s="3"/>
      <c r="L16" s="3"/>
      <c r="M16" s="3"/>
      <c r="N16" s="3"/>
      <c r="O16" s="3"/>
      <c r="P16" s="3"/>
    </row>
    <row r="17" spans="1:16" ht="15.6" x14ac:dyDescent="0.3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  <c r="L17" s="3"/>
      <c r="M17" s="3"/>
      <c r="N17" s="3"/>
      <c r="O17" s="3"/>
      <c r="P17" s="3"/>
    </row>
    <row r="18" spans="1:16" ht="93.6" x14ac:dyDescent="0.3">
      <c r="A18" s="19"/>
      <c r="B18" s="20" t="s">
        <v>14</v>
      </c>
      <c r="C18" s="21" t="s">
        <v>15</v>
      </c>
      <c r="D18" s="22" t="s">
        <v>16</v>
      </c>
      <c r="E18" s="22" t="s">
        <v>17</v>
      </c>
      <c r="F18" s="22" t="s">
        <v>18</v>
      </c>
      <c r="G18" s="22" t="s">
        <v>19</v>
      </c>
      <c r="H18" s="22" t="s">
        <v>18</v>
      </c>
      <c r="I18" s="22" t="s">
        <v>19</v>
      </c>
      <c r="J18" s="22" t="s">
        <v>20</v>
      </c>
      <c r="K18" s="23" t="s">
        <v>21</v>
      </c>
      <c r="L18" s="24"/>
      <c r="M18" s="23" t="s">
        <v>22</v>
      </c>
      <c r="N18" s="23" t="s">
        <v>23</v>
      </c>
      <c r="O18" s="23" t="s">
        <v>24</v>
      </c>
      <c r="P18" s="23" t="s">
        <v>25</v>
      </c>
    </row>
    <row r="19" spans="1:16" ht="15.6" x14ac:dyDescent="0.3">
      <c r="A19" s="19"/>
      <c r="B19" s="19"/>
      <c r="C19" s="24"/>
      <c r="D19" s="24"/>
      <c r="E19" s="24"/>
      <c r="F19" s="24"/>
      <c r="G19" s="24"/>
      <c r="H19" s="24"/>
      <c r="I19" s="24"/>
      <c r="J19" s="24"/>
      <c r="K19" s="25"/>
      <c r="L19" s="24"/>
      <c r="M19" s="3"/>
      <c r="N19" s="3"/>
      <c r="O19" s="3"/>
      <c r="P19" s="3"/>
    </row>
    <row r="20" spans="1:16" ht="15.6" x14ac:dyDescent="0.3">
      <c r="A20" s="3"/>
      <c r="B20" s="8" t="s">
        <v>26</v>
      </c>
      <c r="C20" s="8">
        <v>1</v>
      </c>
      <c r="D20" s="8">
        <v>1</v>
      </c>
      <c r="E20" s="8"/>
      <c r="F20" s="8"/>
      <c r="G20" s="35">
        <v>0</v>
      </c>
      <c r="H20" s="8"/>
      <c r="I20" s="16"/>
      <c r="J20" s="35">
        <f>F20*G20+H20*I20</f>
        <v>0</v>
      </c>
      <c r="K20" s="16" t="e">
        <f>E20/(J20)</f>
        <v>#DIV/0!</v>
      </c>
      <c r="L20" s="3"/>
      <c r="M20" s="26">
        <v>0</v>
      </c>
      <c r="N20" s="27">
        <f>M20/C20</f>
        <v>0</v>
      </c>
      <c r="O20" s="35">
        <f>J20+'6-15-22'!O20</f>
        <v>108</v>
      </c>
      <c r="P20" s="26">
        <f>M20/O20</f>
        <v>0</v>
      </c>
    </row>
    <row r="21" spans="1:16" ht="15.6" x14ac:dyDescent="0.3">
      <c r="A21" s="3"/>
      <c r="B21" s="3"/>
      <c r="C21" s="3"/>
      <c r="D21" s="3"/>
      <c r="E21" s="3"/>
      <c r="F21" s="3"/>
      <c r="G21" s="40"/>
      <c r="H21" s="3"/>
      <c r="I21" s="28"/>
      <c r="J21" s="40"/>
      <c r="K21" s="28"/>
      <c r="L21" s="3"/>
      <c r="M21" s="29"/>
      <c r="N21" s="3"/>
      <c r="O21" s="3"/>
      <c r="P21" s="3"/>
    </row>
    <row r="22" spans="1:16" ht="15.6" x14ac:dyDescent="0.3">
      <c r="A22" s="3"/>
      <c r="B22" s="8" t="s">
        <v>53</v>
      </c>
      <c r="C22" s="8">
        <v>125400</v>
      </c>
      <c r="D22" s="41"/>
      <c r="E22" s="41"/>
      <c r="F22" s="8"/>
      <c r="G22" s="35"/>
      <c r="H22" s="8"/>
      <c r="I22" s="16"/>
      <c r="J22" s="35">
        <f>F22*G22+H22*I22</f>
        <v>0</v>
      </c>
      <c r="K22" s="16" t="e">
        <f>E22/(J22)</f>
        <v>#DIV/0!</v>
      </c>
      <c r="L22" s="3"/>
      <c r="M22" s="26">
        <f>E22+'6-15-22'!M22</f>
        <v>125400</v>
      </c>
      <c r="N22" s="27">
        <f>M22/C22</f>
        <v>1</v>
      </c>
      <c r="O22" s="35">
        <f>J22+'6-15-22'!O22</f>
        <v>679.75</v>
      </c>
      <c r="P22" s="26">
        <f>M22/O22</f>
        <v>184.47958808385437</v>
      </c>
    </row>
    <row r="23" spans="1:16" ht="15.6" x14ac:dyDescent="0.3">
      <c r="A23" s="3"/>
      <c r="B23" s="3"/>
      <c r="C23" s="3"/>
      <c r="D23" s="3"/>
      <c r="E23" s="3"/>
      <c r="F23" s="3"/>
      <c r="G23" s="40"/>
      <c r="H23" s="3"/>
      <c r="I23" s="28"/>
      <c r="J23" s="40"/>
      <c r="K23" s="28"/>
      <c r="L23" s="3"/>
      <c r="M23" s="29"/>
      <c r="N23" s="3"/>
      <c r="O23" s="36"/>
      <c r="P23" s="29"/>
    </row>
    <row r="24" spans="1:16" ht="15.6" x14ac:dyDescent="0.3">
      <c r="A24" s="3"/>
      <c r="B24" s="8" t="s">
        <v>54</v>
      </c>
      <c r="C24" s="8">
        <v>125400</v>
      </c>
      <c r="D24" s="8"/>
      <c r="E24" s="8"/>
      <c r="F24" s="8"/>
      <c r="G24" s="35"/>
      <c r="H24" s="8"/>
      <c r="I24" s="16"/>
      <c r="J24" s="35">
        <f>F24*G24+H24*I24</f>
        <v>0</v>
      </c>
      <c r="K24" s="16" t="e">
        <f>E24/(J24)</f>
        <v>#DIV/0!</v>
      </c>
      <c r="L24" s="3"/>
      <c r="M24" s="35">
        <f>H24+'6-15-22'!M24</f>
        <v>125400</v>
      </c>
      <c r="N24" s="27">
        <f>M24/C24</f>
        <v>1</v>
      </c>
      <c r="O24" s="35">
        <f>J24+'6-15-22'!O24</f>
        <v>449.75</v>
      </c>
      <c r="P24" s="26">
        <f>M24/O24</f>
        <v>278.82156753752082</v>
      </c>
    </row>
    <row r="25" spans="1:16" ht="15.6" x14ac:dyDescent="0.3">
      <c r="A25" s="3"/>
      <c r="B25" s="3"/>
      <c r="C25" s="3"/>
      <c r="D25" s="3"/>
      <c r="E25" s="3"/>
      <c r="F25" s="3"/>
      <c r="G25" s="36"/>
      <c r="H25" s="3"/>
      <c r="I25" s="4"/>
      <c r="J25" s="36"/>
      <c r="K25" s="4"/>
      <c r="L25" s="3"/>
      <c r="M25" s="29"/>
      <c r="N25" s="3"/>
      <c r="O25" s="3"/>
      <c r="P25" s="3"/>
    </row>
    <row r="26" spans="1:16" ht="15.6" x14ac:dyDescent="0.3">
      <c r="A26" s="3"/>
      <c r="B26" s="8" t="s">
        <v>44</v>
      </c>
      <c r="C26" s="8">
        <v>3040</v>
      </c>
      <c r="D26" s="8"/>
      <c r="E26" s="8"/>
      <c r="F26" s="8"/>
      <c r="G26" s="35"/>
      <c r="H26" s="8"/>
      <c r="I26" s="16"/>
      <c r="J26" s="35">
        <f>F26*G26+H26*I26</f>
        <v>0</v>
      </c>
      <c r="K26" s="16" t="e">
        <f>E26/(J26)</f>
        <v>#DIV/0!</v>
      </c>
      <c r="L26" s="3"/>
      <c r="M26" s="35">
        <f>H26+'6-15-22'!M26</f>
        <v>1516</v>
      </c>
      <c r="N26" s="27">
        <f>M26/C26</f>
        <v>0.49868421052631579</v>
      </c>
      <c r="O26" s="35">
        <f>J26+'6-15-22'!O26</f>
        <v>101</v>
      </c>
      <c r="P26" s="26">
        <f>M26/O26</f>
        <v>15.009900990099009</v>
      </c>
    </row>
    <row r="27" spans="1:16" ht="15.6" x14ac:dyDescent="0.3">
      <c r="A27" s="3"/>
      <c r="B27" s="3"/>
      <c r="C27" s="3"/>
      <c r="D27" s="3"/>
      <c r="E27" s="3"/>
      <c r="F27" s="3"/>
      <c r="G27" s="36"/>
      <c r="H27" s="3"/>
      <c r="I27" s="4"/>
      <c r="J27" s="36"/>
      <c r="K27" s="4"/>
      <c r="L27" s="3"/>
      <c r="M27" s="29"/>
      <c r="N27" s="3"/>
      <c r="O27" s="3"/>
      <c r="P27" s="3"/>
    </row>
    <row r="28" spans="1:16" ht="15.6" x14ac:dyDescent="0.3">
      <c r="A28" s="3"/>
      <c r="B28" s="8" t="s">
        <v>45</v>
      </c>
      <c r="C28" s="8">
        <v>3040</v>
      </c>
      <c r="D28" s="8"/>
      <c r="E28" s="8"/>
      <c r="F28" s="8">
        <v>9</v>
      </c>
      <c r="G28" s="35">
        <v>5.5</v>
      </c>
      <c r="H28" s="8"/>
      <c r="I28" s="16"/>
      <c r="J28" s="35">
        <f>F28*G28+H28*I28</f>
        <v>49.5</v>
      </c>
      <c r="K28" s="16">
        <f>E28/(J28)</f>
        <v>0</v>
      </c>
      <c r="L28" s="3"/>
      <c r="M28" s="35">
        <f>H28+'6-15-22'!M28</f>
        <v>853</v>
      </c>
      <c r="N28" s="27">
        <f>M28/C28</f>
        <v>0.28059210526315792</v>
      </c>
      <c r="O28" s="35">
        <f>J28+'6-15-22'!O28</f>
        <v>160.75</v>
      </c>
      <c r="P28" s="26">
        <f>M28/O28</f>
        <v>5.3063763608087093</v>
      </c>
    </row>
    <row r="29" spans="1:16" ht="15.6" x14ac:dyDescent="0.3">
      <c r="A29" s="3"/>
      <c r="B29" s="3"/>
      <c r="C29" s="3"/>
      <c r="D29" s="3"/>
      <c r="E29" s="3"/>
      <c r="F29" s="3"/>
      <c r="G29" s="36"/>
      <c r="H29" s="3"/>
      <c r="I29" s="4"/>
      <c r="J29" s="36"/>
      <c r="K29" s="4"/>
      <c r="L29" s="3"/>
      <c r="M29" s="29"/>
      <c r="N29" s="3"/>
      <c r="O29" s="3"/>
      <c r="P29" s="3"/>
    </row>
    <row r="30" spans="1:16" ht="15.6" x14ac:dyDescent="0.3">
      <c r="A30" s="3"/>
      <c r="B30" s="8" t="s">
        <v>47</v>
      </c>
      <c r="C30" s="8">
        <v>125400</v>
      </c>
      <c r="D30" s="8"/>
      <c r="E30" s="8">
        <v>11220</v>
      </c>
      <c r="F30" s="8">
        <v>9</v>
      </c>
      <c r="G30" s="35">
        <v>4</v>
      </c>
      <c r="H30" s="8"/>
      <c r="I30" s="35"/>
      <c r="J30" s="35">
        <f>F30*G30+H30*I30</f>
        <v>36</v>
      </c>
      <c r="K30" s="16">
        <f>E30/(J30)</f>
        <v>311.66666666666669</v>
      </c>
      <c r="L30" s="3"/>
      <c r="M30" s="35">
        <f>H30+'6-15-22'!M30</f>
        <v>72930</v>
      </c>
      <c r="N30" s="27">
        <f>M30/C30</f>
        <v>0.58157894736842108</v>
      </c>
      <c r="O30" s="35">
        <f>J30+'6-15-22'!O30</f>
        <v>477.75</v>
      </c>
      <c r="P30" s="26">
        <f>M30/O30</f>
        <v>152.65306122448979</v>
      </c>
    </row>
    <row r="31" spans="1:16" ht="15.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7"/>
      <c r="O31" s="3"/>
      <c r="P31" s="3"/>
    </row>
    <row r="32" spans="1:16" ht="15.6" x14ac:dyDescent="0.3">
      <c r="A32" s="3"/>
      <c r="B32" s="8" t="s">
        <v>46</v>
      </c>
      <c r="C32" s="8">
        <v>324</v>
      </c>
      <c r="D32" s="8"/>
      <c r="E32" s="8"/>
      <c r="F32" s="8"/>
      <c r="G32" s="35"/>
      <c r="H32" s="8"/>
      <c r="I32" s="16"/>
      <c r="J32" s="35">
        <f>F32*G32+H32*I32</f>
        <v>0</v>
      </c>
      <c r="K32" s="16" t="e">
        <f>E32/(J32)</f>
        <v>#DIV/0!</v>
      </c>
      <c r="L32" s="3"/>
      <c r="M32" s="35">
        <f>H32+'6-15-22'!M32</f>
        <v>0</v>
      </c>
      <c r="N32" s="27">
        <f>M32/C32</f>
        <v>0</v>
      </c>
      <c r="O32" s="35">
        <f>J32+'6-15-22'!O32</f>
        <v>0</v>
      </c>
      <c r="P32" s="26" t="e">
        <f>M32/O32</f>
        <v>#DIV/0!</v>
      </c>
    </row>
    <row r="33" spans="1:16" ht="15.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7"/>
      <c r="O33" s="3"/>
      <c r="P33" s="3"/>
    </row>
    <row r="34" spans="1:16" ht="15.6" x14ac:dyDescent="0.3">
      <c r="A34" s="3"/>
      <c r="B34" s="8" t="s">
        <v>48</v>
      </c>
      <c r="C34" s="8">
        <v>115000</v>
      </c>
      <c r="D34" s="8"/>
      <c r="E34" s="8"/>
      <c r="F34" s="8"/>
      <c r="G34" s="35"/>
      <c r="H34" s="8"/>
      <c r="I34" s="16"/>
      <c r="J34" s="35">
        <f>F34*G34+H34*I34</f>
        <v>0</v>
      </c>
      <c r="K34" s="16" t="e">
        <f>E34/(J34)</f>
        <v>#DIV/0!</v>
      </c>
      <c r="L34" s="3"/>
      <c r="M34" s="35">
        <f>H34+'6-15-22'!M34</f>
        <v>0</v>
      </c>
      <c r="N34" s="27">
        <f>M34/C34</f>
        <v>0</v>
      </c>
      <c r="O34" s="35">
        <f>J34+'6-15-22'!O34</f>
        <v>0</v>
      </c>
      <c r="P34" s="26" t="e">
        <f>M34/O34</f>
        <v>#DIV/0!</v>
      </c>
    </row>
    <row r="35" spans="1:16" ht="15.6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27"/>
      <c r="O35" s="3"/>
      <c r="P35" s="3"/>
    </row>
    <row r="36" spans="1:16" ht="15.6" x14ac:dyDescent="0.3">
      <c r="A36" s="3"/>
      <c r="B36" s="8" t="s">
        <v>49</v>
      </c>
      <c r="C36" s="8">
        <v>8</v>
      </c>
      <c r="D36" s="8"/>
      <c r="E36" s="8"/>
      <c r="F36" s="8"/>
      <c r="G36" s="35"/>
      <c r="H36" s="8"/>
      <c r="I36" s="16"/>
      <c r="J36" s="35">
        <f>F36*G36+H36*I36</f>
        <v>0</v>
      </c>
      <c r="K36" s="16" t="e">
        <f>E36/(J36)</f>
        <v>#DIV/0!</v>
      </c>
      <c r="L36" s="3"/>
      <c r="M36" s="35">
        <f>H36+'6-15-22'!M36</f>
        <v>0</v>
      </c>
      <c r="N36" s="27">
        <f>M36/C36</f>
        <v>0</v>
      </c>
      <c r="O36" s="35">
        <f>J36+'6-15-22'!O36</f>
        <v>24</v>
      </c>
      <c r="P36" s="26">
        <f>M36/O36</f>
        <v>0</v>
      </c>
    </row>
    <row r="37" spans="1:16" ht="15.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27"/>
      <c r="O37" s="3"/>
      <c r="P37" s="3"/>
    </row>
    <row r="38" spans="1:16" ht="15.6" x14ac:dyDescent="0.3">
      <c r="A38" s="3"/>
      <c r="B38" s="8" t="s">
        <v>50</v>
      </c>
      <c r="C38" s="8">
        <f>2760+480</f>
        <v>3240</v>
      </c>
      <c r="D38" s="8"/>
      <c r="E38" s="8"/>
      <c r="F38" s="8"/>
      <c r="G38" s="35"/>
      <c r="H38" s="8"/>
      <c r="I38" s="16"/>
      <c r="J38" s="35">
        <f>F38*G38+H38*I38</f>
        <v>0</v>
      </c>
      <c r="K38" s="16" t="e">
        <f>E38/(J38)</f>
        <v>#DIV/0!</v>
      </c>
      <c r="L38" s="3"/>
      <c r="M38" s="35">
        <f>H38+'6-15-22'!M38</f>
        <v>555</v>
      </c>
      <c r="N38" s="27">
        <f>M38/C38</f>
        <v>0.17129629629629631</v>
      </c>
      <c r="O38" s="35">
        <f>J38+'6-15-22'!O38</f>
        <v>44.25</v>
      </c>
      <c r="P38" s="26">
        <f>M38/O38</f>
        <v>12.542372881355933</v>
      </c>
    </row>
    <row r="39" spans="1:16" ht="15.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7"/>
      <c r="O39" s="3"/>
      <c r="P39" s="3"/>
    </row>
    <row r="40" spans="1:16" ht="15.6" x14ac:dyDescent="0.3">
      <c r="A40" s="3"/>
      <c r="B40" s="8" t="s">
        <v>115</v>
      </c>
      <c r="C40" s="8">
        <v>25</v>
      </c>
      <c r="D40" s="8"/>
      <c r="E40" s="8"/>
      <c r="F40" s="8"/>
      <c r="G40" s="35"/>
      <c r="H40" s="8"/>
      <c r="I40" s="16"/>
      <c r="J40" s="35">
        <f>F40*G40+H40*I40</f>
        <v>0</v>
      </c>
      <c r="K40" s="16" t="e">
        <f>E40/(J40)</f>
        <v>#DIV/0!</v>
      </c>
      <c r="L40" s="3"/>
      <c r="M40" s="35">
        <f>H40+'6-15-22'!M40</f>
        <v>0</v>
      </c>
      <c r="N40" s="27">
        <f>M40/C40</f>
        <v>0</v>
      </c>
      <c r="O40" s="35">
        <f>J40+'6-15-22'!O40</f>
        <v>0</v>
      </c>
      <c r="P40" s="26" t="e">
        <f>M40/O40</f>
        <v>#DIV/0!</v>
      </c>
    </row>
    <row r="41" spans="1:16" ht="15.6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27"/>
      <c r="O41" s="3"/>
      <c r="P41" s="3"/>
    </row>
    <row r="42" spans="1:16" ht="15.6" x14ac:dyDescent="0.3">
      <c r="A42" s="3"/>
      <c r="B42" s="8" t="s">
        <v>113</v>
      </c>
      <c r="C42" s="8" t="s">
        <v>52</v>
      </c>
      <c r="D42" s="8"/>
      <c r="E42" s="8"/>
      <c r="F42" s="8"/>
      <c r="G42" s="35"/>
      <c r="H42" s="8"/>
      <c r="I42" s="16"/>
      <c r="J42" s="35">
        <f>F42*G42+H42*I42</f>
        <v>0</v>
      </c>
      <c r="K42" s="16" t="e">
        <f>E42/(J42)</f>
        <v>#DIV/0!</v>
      </c>
      <c r="L42" s="3"/>
      <c r="M42" s="35">
        <f>H42+'6-15-22'!M42</f>
        <v>0</v>
      </c>
      <c r="N42" s="53" t="e">
        <f>M42/C42</f>
        <v>#VALUE!</v>
      </c>
      <c r="O42" s="35">
        <f>J42+'6-15-22'!O42</f>
        <v>0</v>
      </c>
      <c r="P42" s="26" t="e">
        <f>M42/O42</f>
        <v>#DIV/0!</v>
      </c>
    </row>
    <row r="43" spans="1:16" ht="15.6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27"/>
      <c r="O43" s="3"/>
      <c r="P43" s="3"/>
    </row>
    <row r="44" spans="1:16" ht="15.6" x14ac:dyDescent="0.3">
      <c r="A44" s="3"/>
      <c r="B44" s="8" t="s">
        <v>114</v>
      </c>
      <c r="C44" s="8" t="s">
        <v>52</v>
      </c>
      <c r="D44" s="8"/>
      <c r="E44" s="8"/>
      <c r="F44" s="8"/>
      <c r="G44" s="35"/>
      <c r="H44" s="8"/>
      <c r="I44" s="16"/>
      <c r="J44" s="35">
        <f>F44*G44+H44*I44</f>
        <v>0</v>
      </c>
      <c r="K44" s="16" t="e">
        <f>E44/(J44)</f>
        <v>#DIV/0!</v>
      </c>
      <c r="L44" s="3"/>
      <c r="M44" s="35" t="e">
        <f>H44+'6-15-22'!M44</f>
        <v>#VALUE!</v>
      </c>
      <c r="N44" s="53" t="e">
        <f>M44/C44</f>
        <v>#VALUE!</v>
      </c>
      <c r="O44" s="35">
        <f>J44+'6-15-22'!O44</f>
        <v>99</v>
      </c>
      <c r="P44" s="26" t="e">
        <f>M44/O44</f>
        <v>#VALUE!</v>
      </c>
    </row>
    <row r="45" spans="1:16" ht="15.6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27"/>
      <c r="O45" s="3"/>
      <c r="P45" s="3"/>
    </row>
    <row r="46" spans="1:16" ht="15.6" x14ac:dyDescent="0.3">
      <c r="A46" s="3"/>
      <c r="B46" s="8" t="s">
        <v>75</v>
      </c>
      <c r="C46" s="8"/>
      <c r="D46" s="8" t="s">
        <v>52</v>
      </c>
      <c r="E46" s="8"/>
      <c r="F46" s="8"/>
      <c r="G46" s="35"/>
      <c r="H46" s="8"/>
      <c r="I46" s="16"/>
      <c r="J46" s="35">
        <f>F46*G46+H46*I46</f>
        <v>0</v>
      </c>
      <c r="K46" s="16" t="e">
        <f>E46/(J46)</f>
        <v>#DIV/0!</v>
      </c>
      <c r="L46" s="3"/>
      <c r="M46" s="35">
        <f>H46+'6-15-22'!M46</f>
        <v>0</v>
      </c>
      <c r="N46" s="53" t="e">
        <f>M46/C46</f>
        <v>#DIV/0!</v>
      </c>
      <c r="O46" s="35">
        <f>J46+'6-15-22'!O46</f>
        <v>225.75</v>
      </c>
      <c r="P46" s="26">
        <f>M46/O46</f>
        <v>0</v>
      </c>
    </row>
    <row r="47" spans="1:16" ht="15.6" x14ac:dyDescent="0.3">
      <c r="A47" s="3"/>
      <c r="B47" s="3" t="s">
        <v>27</v>
      </c>
      <c r="C47" s="3"/>
      <c r="D47" s="3" t="s">
        <v>52</v>
      </c>
      <c r="E47" s="3"/>
      <c r="F47" s="3"/>
      <c r="G47" s="3"/>
      <c r="H47" s="30"/>
      <c r="I47" s="4"/>
      <c r="J47" s="3">
        <f>J20+J22+J24+J26+J28+J30+J32+J34+J36+J38+J40+J42+J44+J46</f>
        <v>85.5</v>
      </c>
      <c r="K47" s="3"/>
      <c r="L47" s="3"/>
      <c r="M47" s="3"/>
      <c r="N47" s="3"/>
      <c r="O47" s="3">
        <f>O20+O22+O24+O26+O28+O30+O32+O34+O36+O38+O40+O42+O44+O46</f>
        <v>2370</v>
      </c>
      <c r="P47" s="3"/>
    </row>
    <row r="48" spans="1:16" ht="15.6" x14ac:dyDescent="0.3">
      <c r="A48" s="3"/>
      <c r="B48" s="3"/>
      <c r="C48" s="3"/>
      <c r="D48" s="3"/>
      <c r="E48" s="3"/>
      <c r="F48" s="3"/>
      <c r="G48" s="3"/>
      <c r="H48" s="3"/>
      <c r="I48" s="4"/>
      <c r="J48" s="3"/>
      <c r="K48" s="3"/>
      <c r="L48" s="3"/>
      <c r="M48" s="3"/>
      <c r="N48" s="3"/>
      <c r="O48" s="3"/>
      <c r="P48" s="3"/>
    </row>
    <row r="49" spans="1:16" ht="15.6" x14ac:dyDescent="0.3">
      <c r="A49" s="3"/>
      <c r="B49" s="3" t="s">
        <v>28</v>
      </c>
      <c r="C49" s="3" t="s">
        <v>171</v>
      </c>
      <c r="D49" s="3"/>
      <c r="E49" s="3"/>
      <c r="F49" s="3"/>
      <c r="G49" s="3"/>
      <c r="H49" s="3"/>
      <c r="I49" s="4"/>
      <c r="J49" s="3"/>
      <c r="K49" s="3"/>
      <c r="L49" s="3"/>
      <c r="M49" s="3"/>
      <c r="N49" s="3"/>
      <c r="O49" s="3"/>
      <c r="P49" s="3"/>
    </row>
    <row r="50" spans="1:16" ht="15.6" x14ac:dyDescent="0.3">
      <c r="C50" s="33"/>
    </row>
    <row r="51" spans="1:16" ht="15.6" x14ac:dyDescent="0.3">
      <c r="B51" s="3" t="s">
        <v>32</v>
      </c>
      <c r="C51" s="33" t="s">
        <v>172</v>
      </c>
    </row>
    <row r="52" spans="1:16" ht="15.6" x14ac:dyDescent="0.3">
      <c r="C52" s="33"/>
    </row>
    <row r="53" spans="1:16" ht="15.6" x14ac:dyDescent="0.3">
      <c r="B53" s="3" t="s">
        <v>33</v>
      </c>
      <c r="C53" s="3" t="s">
        <v>173</v>
      </c>
    </row>
    <row r="54" spans="1:16" ht="15.6" x14ac:dyDescent="0.3">
      <c r="C54" s="33"/>
    </row>
    <row r="55" spans="1:16" ht="15.6" x14ac:dyDescent="0.3">
      <c r="C55" s="33" t="s">
        <v>52</v>
      </c>
    </row>
    <row r="57" spans="1:16" x14ac:dyDescent="0.3">
      <c r="C57" t="s">
        <v>52</v>
      </c>
      <c r="D57" t="s">
        <v>52</v>
      </c>
    </row>
    <row r="58" spans="1:16" x14ac:dyDescent="0.3">
      <c r="C58" t="s">
        <v>52</v>
      </c>
      <c r="D58" t="s">
        <v>52</v>
      </c>
    </row>
  </sheetData>
  <mergeCells count="2">
    <mergeCell ref="A1:G1"/>
    <mergeCell ref="H7:I7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29D87-C1DB-44E5-8738-9157EA24CE80}">
  <dimension ref="A1:R58"/>
  <sheetViews>
    <sheetView zoomScale="85" zoomScaleNormal="85" workbookViewId="0">
      <selection activeCell="C6" sqref="C6"/>
    </sheetView>
  </sheetViews>
  <sheetFormatPr defaultRowHeight="14.4" x14ac:dyDescent="0.3"/>
  <cols>
    <col min="1" max="1" width="11.33203125" customWidth="1"/>
    <col min="2" max="2" width="29.33203125" customWidth="1"/>
    <col min="3" max="3" width="22.109375" customWidth="1"/>
    <col min="4" max="4" width="14.88671875" customWidth="1"/>
    <col min="5" max="5" width="16.6640625" customWidth="1"/>
    <col min="6" max="6" width="17.44140625" customWidth="1"/>
    <col min="8" max="8" width="20.44140625" customWidth="1"/>
    <col min="13" max="13" width="10.6640625" customWidth="1"/>
    <col min="14" max="14" width="10" bestFit="1" customWidth="1"/>
    <col min="15" max="15" width="10.6640625" customWidth="1"/>
    <col min="18" max="18" width="9.6640625" bestFit="1" customWidth="1"/>
  </cols>
  <sheetData>
    <row r="1" spans="1:18" ht="18" x14ac:dyDescent="0.35">
      <c r="A1" s="66" t="s">
        <v>0</v>
      </c>
      <c r="B1" s="66"/>
      <c r="C1" s="66"/>
      <c r="D1" s="66"/>
      <c r="E1" s="66"/>
      <c r="F1" s="66"/>
      <c r="G1" s="66"/>
      <c r="H1" s="1"/>
      <c r="I1" s="2"/>
      <c r="J1" s="1"/>
      <c r="K1" s="1"/>
      <c r="L1" s="1"/>
      <c r="M1" s="1"/>
      <c r="N1" s="1"/>
      <c r="O1" s="1"/>
      <c r="P1" s="1"/>
    </row>
    <row r="2" spans="1:18" ht="15.6" x14ac:dyDescent="0.3">
      <c r="A2" s="3"/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</row>
    <row r="3" spans="1:18" ht="15.6" x14ac:dyDescent="0.3">
      <c r="A3" s="3"/>
      <c r="B3" s="5" t="s">
        <v>1</v>
      </c>
      <c r="C3" s="6" t="s">
        <v>43</v>
      </c>
      <c r="D3" s="7"/>
      <c r="E3" s="3"/>
      <c r="F3" s="5" t="s">
        <v>2</v>
      </c>
      <c r="G3" s="8">
        <v>4355</v>
      </c>
      <c r="H3" s="5" t="s">
        <v>41</v>
      </c>
      <c r="I3" s="36">
        <v>49</v>
      </c>
      <c r="J3" s="3"/>
      <c r="K3" s="3"/>
      <c r="L3" s="3"/>
      <c r="M3" s="3" t="s">
        <v>163</v>
      </c>
      <c r="N3" s="3"/>
      <c r="O3" s="3"/>
      <c r="P3" s="3">
        <v>1</v>
      </c>
      <c r="Q3" t="s">
        <v>167</v>
      </c>
      <c r="R3" s="57">
        <v>44702</v>
      </c>
    </row>
    <row r="4" spans="1:18" ht="15.6" x14ac:dyDescent="0.3">
      <c r="A4" s="3"/>
      <c r="B4" s="5" t="s">
        <v>3</v>
      </c>
      <c r="C4" s="37">
        <v>300155</v>
      </c>
      <c r="D4" s="7"/>
      <c r="E4" s="3"/>
      <c r="F4" s="5" t="s">
        <v>4</v>
      </c>
      <c r="G4" s="56">
        <f>J16+'6-14-22'!G4</f>
        <v>2284.5</v>
      </c>
      <c r="H4" s="34" t="s">
        <v>42</v>
      </c>
      <c r="I4" s="4">
        <v>31</v>
      </c>
      <c r="J4" s="3"/>
      <c r="K4" s="3"/>
      <c r="L4" s="3"/>
      <c r="M4" s="3"/>
      <c r="N4" s="3"/>
      <c r="O4" s="3"/>
      <c r="P4" s="3"/>
    </row>
    <row r="5" spans="1:18" ht="15.6" x14ac:dyDescent="0.3">
      <c r="A5" s="3"/>
      <c r="B5" s="5" t="s">
        <v>5</v>
      </c>
      <c r="C5" s="38">
        <v>44727</v>
      </c>
      <c r="D5" s="3"/>
      <c r="E5" s="3"/>
      <c r="F5" s="3"/>
      <c r="G5" s="3"/>
      <c r="H5" s="3"/>
      <c r="I5" s="4"/>
      <c r="J5" s="3"/>
      <c r="K5" s="3"/>
      <c r="L5" s="3"/>
      <c r="M5" s="3"/>
      <c r="N5" s="3"/>
      <c r="O5" s="3"/>
      <c r="P5" s="3"/>
    </row>
    <row r="6" spans="1:18" ht="15.6" x14ac:dyDescent="0.3">
      <c r="A6" s="3"/>
      <c r="B6" s="5"/>
      <c r="C6" s="3"/>
      <c r="D6" s="3"/>
      <c r="E6" s="3"/>
      <c r="F6" s="3"/>
      <c r="G6" s="3"/>
      <c r="H6" s="3"/>
      <c r="I6" s="4"/>
      <c r="J6" s="3"/>
      <c r="K6" s="3"/>
      <c r="L6" s="3"/>
      <c r="M6" s="3"/>
      <c r="N6" s="3"/>
      <c r="O6" s="3"/>
      <c r="P6" s="3"/>
    </row>
    <row r="7" spans="1:18" ht="15.6" x14ac:dyDescent="0.3">
      <c r="A7" s="10" t="s">
        <v>6</v>
      </c>
      <c r="B7" s="11"/>
      <c r="C7" s="12" t="s">
        <v>7</v>
      </c>
      <c r="D7" s="3"/>
      <c r="E7" s="12" t="s">
        <v>8</v>
      </c>
      <c r="F7" s="12" t="s">
        <v>34</v>
      </c>
      <c r="G7" s="3"/>
      <c r="H7" s="67" t="s">
        <v>7</v>
      </c>
      <c r="I7" s="67"/>
      <c r="J7" s="12" t="s">
        <v>8</v>
      </c>
      <c r="K7" s="3"/>
      <c r="L7" s="3"/>
      <c r="M7" s="3"/>
      <c r="N7" s="3"/>
      <c r="O7" s="3"/>
      <c r="P7" s="3"/>
    </row>
    <row r="8" spans="1:18" ht="15.6" x14ac:dyDescent="0.3">
      <c r="A8" s="13">
        <v>1</v>
      </c>
      <c r="B8" s="5" t="s">
        <v>9</v>
      </c>
      <c r="C8" s="14" t="s">
        <v>35</v>
      </c>
      <c r="D8" s="15"/>
      <c r="E8" s="35">
        <v>8.25</v>
      </c>
      <c r="F8" s="16">
        <v>66</v>
      </c>
      <c r="G8" s="11">
        <v>9</v>
      </c>
      <c r="H8" s="14" t="s">
        <v>40</v>
      </c>
      <c r="I8" s="8"/>
      <c r="J8" s="35">
        <v>8.25</v>
      </c>
      <c r="K8" s="3"/>
      <c r="L8" s="3"/>
      <c r="M8" s="3"/>
      <c r="N8" s="3"/>
      <c r="O8" s="3"/>
      <c r="P8" s="3"/>
    </row>
    <row r="9" spans="1:18" ht="15.6" x14ac:dyDescent="0.3">
      <c r="A9" s="13">
        <v>2</v>
      </c>
      <c r="B9" s="5" t="s">
        <v>10</v>
      </c>
      <c r="C9" s="14" t="s">
        <v>37</v>
      </c>
      <c r="D9" s="8"/>
      <c r="E9" s="35">
        <v>8.25</v>
      </c>
      <c r="F9" s="16"/>
      <c r="G9" s="11">
        <v>10</v>
      </c>
      <c r="H9" s="14"/>
      <c r="I9" s="8"/>
      <c r="J9" s="39"/>
      <c r="K9" s="3"/>
      <c r="L9" s="3"/>
      <c r="M9" s="3"/>
      <c r="N9" s="3"/>
      <c r="O9" s="3"/>
      <c r="P9" s="3"/>
    </row>
    <row r="10" spans="1:18" ht="15.6" x14ac:dyDescent="0.3">
      <c r="A10" s="13">
        <v>3</v>
      </c>
      <c r="B10" s="5" t="s">
        <v>11</v>
      </c>
      <c r="C10" s="14" t="s">
        <v>36</v>
      </c>
      <c r="D10" s="8"/>
      <c r="E10" s="35">
        <v>8.25</v>
      </c>
      <c r="F10" s="16">
        <v>78</v>
      </c>
      <c r="G10" s="11">
        <v>11</v>
      </c>
      <c r="H10" s="3"/>
      <c r="I10" s="8"/>
      <c r="J10" s="39"/>
      <c r="K10" s="3"/>
      <c r="L10" s="3"/>
      <c r="M10" s="3"/>
      <c r="N10" s="3"/>
      <c r="O10" s="3"/>
      <c r="P10" s="3"/>
    </row>
    <row r="11" spans="1:18" ht="15.6" x14ac:dyDescent="0.3">
      <c r="A11" s="13">
        <v>4</v>
      </c>
      <c r="B11" s="5" t="s">
        <v>12</v>
      </c>
      <c r="C11" s="14" t="s">
        <v>29</v>
      </c>
      <c r="D11" s="8"/>
      <c r="E11" s="35">
        <v>8.25</v>
      </c>
      <c r="F11" s="16"/>
      <c r="G11" s="11">
        <v>12</v>
      </c>
      <c r="H11" s="3"/>
      <c r="I11" s="8"/>
      <c r="J11" s="39"/>
      <c r="K11" s="3"/>
      <c r="L11" s="3"/>
      <c r="M11" s="3"/>
      <c r="N11" s="3"/>
      <c r="O11" s="3"/>
      <c r="P11" s="3"/>
    </row>
    <row r="12" spans="1:18" ht="15.6" x14ac:dyDescent="0.3">
      <c r="A12" s="13">
        <v>5</v>
      </c>
      <c r="B12" s="3"/>
      <c r="C12" s="31" t="s">
        <v>30</v>
      </c>
      <c r="D12" s="8"/>
      <c r="E12" s="35">
        <v>8.25</v>
      </c>
      <c r="F12" s="16"/>
      <c r="G12" s="11">
        <v>13</v>
      </c>
      <c r="H12" s="3"/>
      <c r="I12" s="8"/>
      <c r="J12" s="39"/>
      <c r="K12" s="3"/>
      <c r="L12" s="3"/>
      <c r="M12" s="3"/>
      <c r="N12" s="3"/>
      <c r="O12" s="3"/>
      <c r="P12" s="3"/>
    </row>
    <row r="13" spans="1:18" ht="15.6" x14ac:dyDescent="0.3">
      <c r="A13" s="13">
        <v>6</v>
      </c>
      <c r="B13" s="3"/>
      <c r="C13" s="14" t="s">
        <v>31</v>
      </c>
      <c r="D13" s="8"/>
      <c r="E13" s="35">
        <v>8.25</v>
      </c>
      <c r="F13" s="16">
        <v>74</v>
      </c>
      <c r="G13" s="11">
        <v>14</v>
      </c>
      <c r="H13" s="18"/>
      <c r="I13" s="8"/>
      <c r="J13" s="39"/>
      <c r="K13" s="3"/>
      <c r="L13" s="3"/>
      <c r="M13" s="3"/>
      <c r="N13" s="3"/>
      <c r="O13" s="3"/>
      <c r="P13" s="3"/>
    </row>
    <row r="14" spans="1:18" ht="15.6" x14ac:dyDescent="0.3">
      <c r="A14" s="13">
        <v>7</v>
      </c>
      <c r="B14" s="5" t="s">
        <v>52</v>
      </c>
      <c r="C14" s="14" t="s">
        <v>39</v>
      </c>
      <c r="D14" s="8"/>
      <c r="E14" s="35">
        <v>8.25</v>
      </c>
      <c r="F14" s="16"/>
      <c r="G14" s="11">
        <v>15</v>
      </c>
      <c r="H14" s="3"/>
      <c r="I14" s="8"/>
      <c r="J14" s="39"/>
      <c r="K14" s="3"/>
      <c r="L14" s="3"/>
      <c r="M14" s="3"/>
      <c r="N14" s="3"/>
      <c r="O14" s="3"/>
      <c r="P14" s="3"/>
    </row>
    <row r="15" spans="1:18" ht="15.6" x14ac:dyDescent="0.3">
      <c r="A15" s="13">
        <v>8</v>
      </c>
      <c r="B15" s="3"/>
      <c r="C15" s="14" t="s">
        <v>38</v>
      </c>
      <c r="D15" s="8"/>
      <c r="E15" s="35">
        <v>8.25</v>
      </c>
      <c r="F15" s="16"/>
      <c r="G15" s="11">
        <v>16</v>
      </c>
      <c r="H15" s="3"/>
      <c r="I15" s="8"/>
      <c r="J15" s="39"/>
      <c r="K15" s="3"/>
      <c r="L15" s="3"/>
      <c r="M15" s="3"/>
      <c r="N15" s="3"/>
      <c r="O15" s="3"/>
      <c r="P15" s="3"/>
    </row>
    <row r="16" spans="1:18" ht="15.6" x14ac:dyDescent="0.3">
      <c r="A16" s="3"/>
      <c r="B16" s="3"/>
      <c r="C16" s="3"/>
      <c r="D16" s="3"/>
      <c r="E16" s="3"/>
      <c r="F16" s="3"/>
      <c r="G16" s="13"/>
      <c r="H16" s="7" t="s">
        <v>13</v>
      </c>
      <c r="I16" s="3"/>
      <c r="J16" s="8">
        <f>SUM(E8:E15)+SUM(J8:J15)</f>
        <v>74.25</v>
      </c>
      <c r="K16" s="3"/>
      <c r="L16" s="3"/>
      <c r="M16" s="3"/>
      <c r="N16" s="3"/>
      <c r="O16" s="3"/>
      <c r="P16" s="3"/>
    </row>
    <row r="17" spans="1:16" ht="15.6" x14ac:dyDescent="0.3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  <c r="L17" s="3"/>
      <c r="M17" s="3"/>
      <c r="N17" s="3"/>
      <c r="O17" s="3"/>
      <c r="P17" s="3"/>
    </row>
    <row r="18" spans="1:16" ht="93.6" x14ac:dyDescent="0.3">
      <c r="A18" s="19"/>
      <c r="B18" s="20" t="s">
        <v>14</v>
      </c>
      <c r="C18" s="21" t="s">
        <v>15</v>
      </c>
      <c r="D18" s="22" t="s">
        <v>16</v>
      </c>
      <c r="E18" s="22" t="s">
        <v>17</v>
      </c>
      <c r="F18" s="22" t="s">
        <v>18</v>
      </c>
      <c r="G18" s="22" t="s">
        <v>19</v>
      </c>
      <c r="H18" s="22" t="s">
        <v>18</v>
      </c>
      <c r="I18" s="22" t="s">
        <v>19</v>
      </c>
      <c r="J18" s="22" t="s">
        <v>20</v>
      </c>
      <c r="K18" s="23" t="s">
        <v>21</v>
      </c>
      <c r="L18" s="24"/>
      <c r="M18" s="23" t="s">
        <v>22</v>
      </c>
      <c r="N18" s="23" t="s">
        <v>23</v>
      </c>
      <c r="O18" s="23" t="s">
        <v>24</v>
      </c>
      <c r="P18" s="23" t="s">
        <v>25</v>
      </c>
    </row>
    <row r="19" spans="1:16" ht="15.6" x14ac:dyDescent="0.3">
      <c r="A19" s="19"/>
      <c r="B19" s="19"/>
      <c r="C19" s="24"/>
      <c r="D19" s="24"/>
      <c r="E19" s="24"/>
      <c r="F19" s="24"/>
      <c r="G19" s="24"/>
      <c r="H19" s="24"/>
      <c r="I19" s="24"/>
      <c r="J19" s="24"/>
      <c r="K19" s="25"/>
      <c r="L19" s="24"/>
      <c r="M19" s="3"/>
      <c r="N19" s="3"/>
      <c r="O19" s="3"/>
      <c r="P19" s="3"/>
    </row>
    <row r="20" spans="1:16" ht="15.6" x14ac:dyDescent="0.3">
      <c r="A20" s="3"/>
      <c r="B20" s="8" t="s">
        <v>26</v>
      </c>
      <c r="C20" s="8">
        <v>1</v>
      </c>
      <c r="D20" s="8">
        <v>1</v>
      </c>
      <c r="E20" s="8"/>
      <c r="F20" s="8"/>
      <c r="G20" s="35">
        <v>0</v>
      </c>
      <c r="H20" s="8"/>
      <c r="I20" s="16"/>
      <c r="J20" s="35">
        <f>F20*G20+H20*I20</f>
        <v>0</v>
      </c>
      <c r="K20" s="16" t="e">
        <f>E20/(J20)</f>
        <v>#DIV/0!</v>
      </c>
      <c r="L20" s="3"/>
      <c r="M20" s="26">
        <v>0</v>
      </c>
      <c r="N20" s="27">
        <f>M20/C20</f>
        <v>0</v>
      </c>
      <c r="O20" s="35">
        <f>J20+'6-14-22'!O20</f>
        <v>108</v>
      </c>
      <c r="P20" s="26">
        <f>M20/O20</f>
        <v>0</v>
      </c>
    </row>
    <row r="21" spans="1:16" ht="15.6" x14ac:dyDescent="0.3">
      <c r="A21" s="3"/>
      <c r="B21" s="3"/>
      <c r="C21" s="3"/>
      <c r="D21" s="3"/>
      <c r="E21" s="3"/>
      <c r="F21" s="3"/>
      <c r="G21" s="40"/>
      <c r="H21" s="3"/>
      <c r="I21" s="28"/>
      <c r="J21" s="40"/>
      <c r="K21" s="28"/>
      <c r="L21" s="3"/>
      <c r="M21" s="29"/>
      <c r="N21" s="3"/>
      <c r="O21" s="3"/>
      <c r="P21" s="3"/>
    </row>
    <row r="22" spans="1:16" ht="15.6" x14ac:dyDescent="0.3">
      <c r="A22" s="3"/>
      <c r="B22" s="8" t="s">
        <v>53</v>
      </c>
      <c r="C22" s="8">
        <v>125400</v>
      </c>
      <c r="D22" s="41"/>
      <c r="E22" s="41"/>
      <c r="F22" s="8"/>
      <c r="G22" s="35"/>
      <c r="H22" s="8"/>
      <c r="I22" s="16"/>
      <c r="J22" s="35">
        <f>F22*G22+H22*I22</f>
        <v>0</v>
      </c>
      <c r="K22" s="16" t="e">
        <f>E22/(J22)</f>
        <v>#DIV/0!</v>
      </c>
      <c r="L22" s="3"/>
      <c r="M22" s="26">
        <f>E22+'6-14-22'!M22</f>
        <v>125400</v>
      </c>
      <c r="N22" s="27">
        <f>M22/C22</f>
        <v>1</v>
      </c>
      <c r="O22" s="35">
        <f>J22+'6-14-22'!O22</f>
        <v>679.75</v>
      </c>
      <c r="P22" s="26">
        <f>M22/O22</f>
        <v>184.47958808385437</v>
      </c>
    </row>
    <row r="23" spans="1:16" ht="15.6" x14ac:dyDescent="0.3">
      <c r="A23" s="3"/>
      <c r="B23" s="3"/>
      <c r="C23" s="3"/>
      <c r="D23" s="3"/>
      <c r="E23" s="3"/>
      <c r="F23" s="3"/>
      <c r="G23" s="40"/>
      <c r="H23" s="3"/>
      <c r="I23" s="28"/>
      <c r="J23" s="40"/>
      <c r="K23" s="28"/>
      <c r="L23" s="3"/>
      <c r="M23" s="29"/>
      <c r="N23" s="3"/>
      <c r="O23" s="36"/>
      <c r="P23" s="29"/>
    </row>
    <row r="24" spans="1:16" ht="15.6" x14ac:dyDescent="0.3">
      <c r="A24" s="3"/>
      <c r="B24" s="8" t="s">
        <v>54</v>
      </c>
      <c r="C24" s="8">
        <v>125400</v>
      </c>
      <c r="D24" s="8"/>
      <c r="E24" s="8"/>
      <c r="F24" s="8"/>
      <c r="G24" s="35"/>
      <c r="H24" s="8"/>
      <c r="I24" s="16"/>
      <c r="J24" s="35">
        <f>F24*G24+H24*I24</f>
        <v>0</v>
      </c>
      <c r="K24" s="16" t="e">
        <f>E24/(J24)</f>
        <v>#DIV/0!</v>
      </c>
      <c r="L24" s="3"/>
      <c r="M24" s="26">
        <f>E24+'6-14-22'!M24</f>
        <v>125400</v>
      </c>
      <c r="N24" s="27">
        <f>M24/C24</f>
        <v>1</v>
      </c>
      <c r="O24" s="35">
        <f>J24+'6-14-22'!O24</f>
        <v>449.75</v>
      </c>
      <c r="P24" s="26">
        <f>M24/O24</f>
        <v>278.82156753752082</v>
      </c>
    </row>
    <row r="25" spans="1:16" ht="15.6" x14ac:dyDescent="0.3">
      <c r="A25" s="3"/>
      <c r="B25" s="3"/>
      <c r="C25" s="3"/>
      <c r="D25" s="3"/>
      <c r="E25" s="3"/>
      <c r="F25" s="3"/>
      <c r="G25" s="36"/>
      <c r="H25" s="3"/>
      <c r="I25" s="4"/>
      <c r="J25" s="36"/>
      <c r="K25" s="4"/>
      <c r="L25" s="3"/>
      <c r="M25" s="29"/>
      <c r="N25" s="3"/>
      <c r="O25" s="3"/>
      <c r="P25" s="3"/>
    </row>
    <row r="26" spans="1:16" ht="15.6" x14ac:dyDescent="0.3">
      <c r="A26" s="3"/>
      <c r="B26" s="8" t="s">
        <v>44</v>
      </c>
      <c r="C26" s="8">
        <v>3040</v>
      </c>
      <c r="D26" s="8"/>
      <c r="E26" s="8"/>
      <c r="F26" s="8"/>
      <c r="G26" s="35"/>
      <c r="H26" s="8"/>
      <c r="I26" s="16"/>
      <c r="J26" s="35">
        <f>F26*G26+H26*I26</f>
        <v>0</v>
      </c>
      <c r="K26" s="16" t="e">
        <f>E26/(J26)</f>
        <v>#DIV/0!</v>
      </c>
      <c r="L26" s="3"/>
      <c r="M26" s="26">
        <f>E26+'6-14-22'!M26</f>
        <v>1516</v>
      </c>
      <c r="N26" s="27">
        <f>M26/C26</f>
        <v>0.49868421052631579</v>
      </c>
      <c r="O26" s="35">
        <f>J26+'6-14-22'!O26</f>
        <v>101</v>
      </c>
      <c r="P26" s="26">
        <f>M26/O26</f>
        <v>15.009900990099009</v>
      </c>
    </row>
    <row r="27" spans="1:16" ht="15.6" x14ac:dyDescent="0.3">
      <c r="A27" s="3"/>
      <c r="B27" s="3"/>
      <c r="C27" s="3"/>
      <c r="D27" s="3"/>
      <c r="E27" s="3"/>
      <c r="F27" s="3"/>
      <c r="G27" s="36"/>
      <c r="H27" s="3"/>
      <c r="I27" s="4"/>
      <c r="J27" s="36"/>
      <c r="K27" s="4"/>
      <c r="L27" s="3"/>
      <c r="M27" s="29"/>
      <c r="N27" s="3"/>
      <c r="O27" s="3"/>
      <c r="P27" s="3"/>
    </row>
    <row r="28" spans="1:16" ht="15.6" x14ac:dyDescent="0.3">
      <c r="A28" s="3"/>
      <c r="B28" s="8" t="s">
        <v>45</v>
      </c>
      <c r="C28" s="8">
        <v>3040</v>
      </c>
      <c r="D28" s="8"/>
      <c r="E28" s="8"/>
      <c r="F28" s="8">
        <v>9</v>
      </c>
      <c r="G28" s="35">
        <v>3.25</v>
      </c>
      <c r="H28" s="8"/>
      <c r="I28" s="16"/>
      <c r="J28" s="35">
        <f>F28*G28+H28*I28</f>
        <v>29.25</v>
      </c>
      <c r="K28" s="16">
        <f>E28/(J28)</f>
        <v>0</v>
      </c>
      <c r="L28" s="3"/>
      <c r="M28" s="26">
        <f>E28+'6-14-22'!M28</f>
        <v>853</v>
      </c>
      <c r="N28" s="27">
        <f>M28/C28</f>
        <v>0.28059210526315792</v>
      </c>
      <c r="O28" s="35">
        <f>J28+'6-14-22'!O28</f>
        <v>111.25</v>
      </c>
      <c r="P28" s="26">
        <f>M28/O28</f>
        <v>7.6674157303370789</v>
      </c>
    </row>
    <row r="29" spans="1:16" ht="15.6" x14ac:dyDescent="0.3">
      <c r="A29" s="3"/>
      <c r="B29" s="3"/>
      <c r="C29" s="3"/>
      <c r="D29" s="3"/>
      <c r="E29" s="3"/>
      <c r="F29" s="3"/>
      <c r="G29" s="36"/>
      <c r="H29" s="3"/>
      <c r="I29" s="4"/>
      <c r="J29" s="36"/>
      <c r="K29" s="4"/>
      <c r="L29" s="3"/>
      <c r="M29" s="29"/>
      <c r="N29" s="3"/>
      <c r="O29" s="3"/>
      <c r="P29" s="3"/>
    </row>
    <row r="30" spans="1:16" ht="15.6" x14ac:dyDescent="0.3">
      <c r="A30" s="3"/>
      <c r="B30" s="8" t="s">
        <v>47</v>
      </c>
      <c r="C30" s="8">
        <v>125400</v>
      </c>
      <c r="D30" s="8"/>
      <c r="E30" s="8"/>
      <c r="F30" s="8">
        <v>9</v>
      </c>
      <c r="G30" s="35">
        <v>5</v>
      </c>
      <c r="H30" s="8"/>
      <c r="I30" s="35"/>
      <c r="J30" s="35">
        <f>F30*G30+H30*I30</f>
        <v>45</v>
      </c>
      <c r="K30" s="16">
        <f>E30/(J30)</f>
        <v>0</v>
      </c>
      <c r="L30" s="3"/>
      <c r="M30" s="26">
        <f>E30+'6-14-22'!M30</f>
        <v>72930</v>
      </c>
      <c r="N30" s="27">
        <f>M30/C30</f>
        <v>0.58157894736842108</v>
      </c>
      <c r="O30" s="35">
        <f>J30+'6-14-22'!O30</f>
        <v>441.75</v>
      </c>
      <c r="P30" s="26">
        <f>M30/O30</f>
        <v>165.09337860780985</v>
      </c>
    </row>
    <row r="31" spans="1:16" ht="15.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7"/>
      <c r="O31" s="3"/>
      <c r="P31" s="3"/>
    </row>
    <row r="32" spans="1:16" ht="15.6" x14ac:dyDescent="0.3">
      <c r="A32" s="3"/>
      <c r="B32" s="8" t="s">
        <v>46</v>
      </c>
      <c r="C32" s="8">
        <v>324</v>
      </c>
      <c r="D32" s="8"/>
      <c r="E32" s="8"/>
      <c r="F32" s="8"/>
      <c r="G32" s="35"/>
      <c r="H32" s="8"/>
      <c r="I32" s="16"/>
      <c r="J32" s="35">
        <f>F32*G32+H32*I32</f>
        <v>0</v>
      </c>
      <c r="K32" s="16" t="e">
        <f>E32/(J32)</f>
        <v>#DIV/0!</v>
      </c>
      <c r="L32" s="3"/>
      <c r="M32" s="26">
        <f>E32+'6-14-22'!M32</f>
        <v>0</v>
      </c>
      <c r="N32" s="27">
        <f>M32/C32</f>
        <v>0</v>
      </c>
      <c r="O32" s="35">
        <f>J32+'6-14-22'!O32</f>
        <v>0</v>
      </c>
      <c r="P32" s="26" t="e">
        <f>M32/O32</f>
        <v>#DIV/0!</v>
      </c>
    </row>
    <row r="33" spans="1:16" ht="15.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7"/>
      <c r="O33" s="3"/>
      <c r="P33" s="3"/>
    </row>
    <row r="34" spans="1:16" ht="15.6" x14ac:dyDescent="0.3">
      <c r="A34" s="3"/>
      <c r="B34" s="8" t="s">
        <v>48</v>
      </c>
      <c r="C34" s="8">
        <v>115000</v>
      </c>
      <c r="D34" s="8"/>
      <c r="E34" s="8"/>
      <c r="F34" s="8"/>
      <c r="G34" s="35"/>
      <c r="H34" s="8"/>
      <c r="I34" s="16"/>
      <c r="J34" s="35">
        <f>F34*G34+H34*I34</f>
        <v>0</v>
      </c>
      <c r="K34" s="16" t="e">
        <f>E34/(J34)</f>
        <v>#DIV/0!</v>
      </c>
      <c r="L34" s="3"/>
      <c r="M34" s="26">
        <f>E34+'6-14-22'!M34</f>
        <v>0</v>
      </c>
      <c r="N34" s="27">
        <f>M34/C34</f>
        <v>0</v>
      </c>
      <c r="O34" s="35">
        <f>J34+'6-14-22'!O34</f>
        <v>0</v>
      </c>
      <c r="P34" s="26" t="e">
        <f>M34/O34</f>
        <v>#DIV/0!</v>
      </c>
    </row>
    <row r="35" spans="1:16" ht="15.6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27"/>
      <c r="O35" s="3"/>
      <c r="P35" s="3"/>
    </row>
    <row r="36" spans="1:16" ht="15.6" x14ac:dyDescent="0.3">
      <c r="A36" s="3"/>
      <c r="B36" s="8" t="s">
        <v>49</v>
      </c>
      <c r="C36" s="8">
        <v>8</v>
      </c>
      <c r="D36" s="8"/>
      <c r="E36" s="8"/>
      <c r="F36" s="8"/>
      <c r="G36" s="35"/>
      <c r="H36" s="8"/>
      <c r="I36" s="16"/>
      <c r="J36" s="35">
        <f>F36*G36+H36*I36</f>
        <v>0</v>
      </c>
      <c r="K36" s="16" t="e">
        <f>E36/(J36)</f>
        <v>#DIV/0!</v>
      </c>
      <c r="L36" s="3"/>
      <c r="M36" s="26">
        <f>E36+'6-14-22'!M36</f>
        <v>0</v>
      </c>
      <c r="N36" s="27">
        <f>M36/C36</f>
        <v>0</v>
      </c>
      <c r="O36" s="35">
        <f>J36+'6-14-22'!O36</f>
        <v>24</v>
      </c>
      <c r="P36" s="26">
        <f>M36/O36</f>
        <v>0</v>
      </c>
    </row>
    <row r="37" spans="1:16" ht="15.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27"/>
      <c r="O37" s="3"/>
      <c r="P37" s="3"/>
    </row>
    <row r="38" spans="1:16" ht="15.6" x14ac:dyDescent="0.3">
      <c r="A38" s="3"/>
      <c r="B38" s="8" t="s">
        <v>50</v>
      </c>
      <c r="C38" s="8">
        <f>2760+480</f>
        <v>3240</v>
      </c>
      <c r="D38" s="8"/>
      <c r="E38" s="8"/>
      <c r="F38" s="8"/>
      <c r="G38" s="35"/>
      <c r="H38" s="8"/>
      <c r="I38" s="16"/>
      <c r="J38" s="35">
        <f>F38*G38+H38*I38</f>
        <v>0</v>
      </c>
      <c r="K38" s="16" t="e">
        <f>E38/(J38)</f>
        <v>#DIV/0!</v>
      </c>
      <c r="L38" s="3"/>
      <c r="M38" s="26">
        <f>E38+'6-14-22'!M38</f>
        <v>555</v>
      </c>
      <c r="N38" s="27">
        <f>M38/C38</f>
        <v>0.17129629629629631</v>
      </c>
      <c r="O38" s="35">
        <f>J38+'6-14-22'!O38</f>
        <v>44.25</v>
      </c>
      <c r="P38" s="26">
        <f>M38/O38</f>
        <v>12.542372881355933</v>
      </c>
    </row>
    <row r="39" spans="1:16" ht="15.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7"/>
      <c r="O39" s="3"/>
      <c r="P39" s="3"/>
    </row>
    <row r="40" spans="1:16" ht="15.6" x14ac:dyDescent="0.3">
      <c r="A40" s="3"/>
      <c r="B40" s="8" t="s">
        <v>115</v>
      </c>
      <c r="C40" s="8">
        <v>25</v>
      </c>
      <c r="D40" s="8"/>
      <c r="E40" s="8"/>
      <c r="F40" s="8"/>
      <c r="G40" s="35"/>
      <c r="H40" s="8"/>
      <c r="I40" s="16"/>
      <c r="J40" s="35">
        <f>F40*G40+H40*I40</f>
        <v>0</v>
      </c>
      <c r="K40" s="16" t="e">
        <f>E40/(J40)</f>
        <v>#DIV/0!</v>
      </c>
      <c r="L40" s="3"/>
      <c r="M40" s="26">
        <f>E40+'6-14-22'!M40</f>
        <v>0</v>
      </c>
      <c r="N40" s="27">
        <f>M40/C40</f>
        <v>0</v>
      </c>
      <c r="O40" s="35">
        <f>J40+'6-14-22'!O40</f>
        <v>0</v>
      </c>
      <c r="P40" s="26" t="e">
        <f>M40/O40</f>
        <v>#DIV/0!</v>
      </c>
    </row>
    <row r="41" spans="1:16" ht="15.6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27"/>
      <c r="O41" s="3"/>
      <c r="P41" s="3"/>
    </row>
    <row r="42" spans="1:16" ht="15.6" x14ac:dyDescent="0.3">
      <c r="A42" s="3"/>
      <c r="B42" s="8" t="s">
        <v>113</v>
      </c>
      <c r="C42" s="8" t="s">
        <v>52</v>
      </c>
      <c r="D42" s="8"/>
      <c r="E42" s="8"/>
      <c r="F42" s="8"/>
      <c r="G42" s="35"/>
      <c r="H42" s="8"/>
      <c r="I42" s="16"/>
      <c r="J42" s="35">
        <f>F42*G42+H42*I42</f>
        <v>0</v>
      </c>
      <c r="K42" s="16" t="e">
        <f>E42/(J42)</f>
        <v>#DIV/0!</v>
      </c>
      <c r="L42" s="3"/>
      <c r="M42" s="26">
        <f>E42+'6-14-22'!M42</f>
        <v>0</v>
      </c>
      <c r="N42" s="53" t="e">
        <f>M42/C42</f>
        <v>#VALUE!</v>
      </c>
      <c r="O42" s="35">
        <f>J42+'6-14-22'!O42</f>
        <v>0</v>
      </c>
      <c r="P42" s="26" t="e">
        <f>M42/O42</f>
        <v>#DIV/0!</v>
      </c>
    </row>
    <row r="43" spans="1:16" ht="15.6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27"/>
      <c r="O43" s="3"/>
      <c r="P43" s="3"/>
    </row>
    <row r="44" spans="1:16" ht="15.6" x14ac:dyDescent="0.3">
      <c r="A44" s="3"/>
      <c r="B44" s="8" t="s">
        <v>114</v>
      </c>
      <c r="C44" s="8" t="s">
        <v>52</v>
      </c>
      <c r="D44" s="8"/>
      <c r="E44" s="8"/>
      <c r="F44" s="8"/>
      <c r="G44" s="35"/>
      <c r="H44" s="8"/>
      <c r="I44" s="16"/>
      <c r="J44" s="35">
        <f>F44*G44+H44*I44</f>
        <v>0</v>
      </c>
      <c r="K44" s="16" t="e">
        <f>E44/(J44)</f>
        <v>#DIV/0!</v>
      </c>
      <c r="L44" s="3"/>
      <c r="M44" s="26" t="e">
        <f>E44+'6-14-22'!M44</f>
        <v>#VALUE!</v>
      </c>
      <c r="N44" s="53" t="e">
        <f>M44/C44</f>
        <v>#VALUE!</v>
      </c>
      <c r="O44" s="35">
        <f>J44+'6-14-22'!O44</f>
        <v>99</v>
      </c>
      <c r="P44" s="26" t="e">
        <f>M44/O44</f>
        <v>#VALUE!</v>
      </c>
    </row>
    <row r="45" spans="1:16" ht="15.6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27"/>
      <c r="O45" s="3"/>
      <c r="P45" s="3"/>
    </row>
    <row r="46" spans="1:16" ht="15.6" x14ac:dyDescent="0.3">
      <c r="A46" s="3"/>
      <c r="B46" s="8" t="s">
        <v>75</v>
      </c>
      <c r="C46" s="8"/>
      <c r="D46" s="8" t="s">
        <v>52</v>
      </c>
      <c r="E46" s="8"/>
      <c r="F46" s="8"/>
      <c r="G46" s="35"/>
      <c r="H46" s="8"/>
      <c r="I46" s="16"/>
      <c r="J46" s="35">
        <f>F46*G46+H46*I46</f>
        <v>0</v>
      </c>
      <c r="K46" s="16" t="e">
        <f>E46/(J46)</f>
        <v>#DIV/0!</v>
      </c>
      <c r="L46" s="3"/>
      <c r="M46" s="26">
        <f>E46+'6-14-22'!M46</f>
        <v>0</v>
      </c>
      <c r="N46" s="53" t="e">
        <f>M46/C46</f>
        <v>#DIV/0!</v>
      </c>
      <c r="O46" s="35">
        <f>J46+'6-14-22'!O46</f>
        <v>225.75</v>
      </c>
      <c r="P46" s="26">
        <f>M46/O46</f>
        <v>0</v>
      </c>
    </row>
    <row r="47" spans="1:16" ht="15.6" x14ac:dyDescent="0.3">
      <c r="A47" s="3"/>
      <c r="B47" s="3" t="s">
        <v>27</v>
      </c>
      <c r="C47" s="3"/>
      <c r="D47" s="3" t="s">
        <v>52</v>
      </c>
      <c r="E47" s="3"/>
      <c r="F47" s="3"/>
      <c r="G47" s="3"/>
      <c r="H47" s="30"/>
      <c r="I47" s="4"/>
      <c r="J47" s="3">
        <f>J20+J22+J24+J26+J28+J30+J32+J34+J36+J38+J40+J42+J44+J46</f>
        <v>74.25</v>
      </c>
      <c r="K47" s="3"/>
      <c r="L47" s="3"/>
      <c r="M47" s="3"/>
      <c r="N47" s="3"/>
      <c r="O47" s="3">
        <f>O20+O22+O24+O26+O28+O30+O32+O34+O36+O38+O40+O42+O44+O46</f>
        <v>2284.5</v>
      </c>
      <c r="P47" s="3"/>
    </row>
    <row r="48" spans="1:16" ht="15.6" x14ac:dyDescent="0.3">
      <c r="A48" s="3"/>
      <c r="B48" s="3"/>
      <c r="C48" s="3"/>
      <c r="D48" s="3"/>
      <c r="E48" s="3"/>
      <c r="F48" s="3"/>
      <c r="G48" s="3"/>
      <c r="H48" s="3"/>
      <c r="I48" s="4"/>
      <c r="J48" s="3"/>
      <c r="K48" s="3"/>
      <c r="L48" s="3"/>
      <c r="M48" s="3"/>
      <c r="N48" s="3"/>
      <c r="O48" s="3"/>
      <c r="P48" s="3"/>
    </row>
    <row r="49" spans="1:16" ht="15.6" x14ac:dyDescent="0.3">
      <c r="A49" s="3"/>
      <c r="B49" s="3" t="s">
        <v>28</v>
      </c>
      <c r="C49" s="3" t="s">
        <v>168</v>
      </c>
      <c r="D49" s="3"/>
      <c r="E49" s="3"/>
      <c r="F49" s="3"/>
      <c r="G49" s="3"/>
      <c r="H49" s="3"/>
      <c r="I49" s="4"/>
      <c r="J49" s="3"/>
      <c r="K49" s="3"/>
      <c r="L49" s="3"/>
      <c r="M49" s="3"/>
      <c r="N49" s="3"/>
      <c r="O49" s="3"/>
      <c r="P49" s="3"/>
    </row>
    <row r="50" spans="1:16" ht="15.6" x14ac:dyDescent="0.3">
      <c r="C50" s="33"/>
    </row>
    <row r="51" spans="1:16" ht="15.6" x14ac:dyDescent="0.3">
      <c r="B51" s="3" t="s">
        <v>32</v>
      </c>
      <c r="C51" s="33" t="s">
        <v>169</v>
      </c>
    </row>
    <row r="52" spans="1:16" ht="15.6" x14ac:dyDescent="0.3">
      <c r="C52" s="33"/>
    </row>
    <row r="53" spans="1:16" ht="15.6" x14ac:dyDescent="0.3">
      <c r="B53" s="3" t="s">
        <v>33</v>
      </c>
      <c r="C53" s="3" t="s">
        <v>170</v>
      </c>
    </row>
    <row r="54" spans="1:16" ht="15.6" x14ac:dyDescent="0.3">
      <c r="C54" s="33"/>
    </row>
    <row r="55" spans="1:16" ht="15.6" x14ac:dyDescent="0.3">
      <c r="C55" s="33" t="s">
        <v>52</v>
      </c>
    </row>
    <row r="57" spans="1:16" x14ac:dyDescent="0.3">
      <c r="C57" t="s">
        <v>52</v>
      </c>
      <c r="D57" t="s">
        <v>52</v>
      </c>
    </row>
    <row r="58" spans="1:16" x14ac:dyDescent="0.3">
      <c r="C58" t="s">
        <v>52</v>
      </c>
      <c r="D58" t="s">
        <v>52</v>
      </c>
    </row>
  </sheetData>
  <mergeCells count="2">
    <mergeCell ref="A1:G1"/>
    <mergeCell ref="H7:I7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69AF9-B186-47E7-A44C-459BFD416CF2}">
  <dimension ref="A1:R58"/>
  <sheetViews>
    <sheetView zoomScale="85" zoomScaleNormal="85" workbookViewId="0">
      <selection activeCell="P7" sqref="P7"/>
    </sheetView>
  </sheetViews>
  <sheetFormatPr defaultRowHeight="14.4" x14ac:dyDescent="0.3"/>
  <cols>
    <col min="1" max="1" width="11.33203125" customWidth="1"/>
    <col min="2" max="2" width="29.33203125" customWidth="1"/>
    <col min="3" max="3" width="22.109375" customWidth="1"/>
    <col min="4" max="4" width="14.88671875" customWidth="1"/>
    <col min="5" max="5" width="16.6640625" customWidth="1"/>
    <col min="6" max="6" width="17.44140625" customWidth="1"/>
    <col min="8" max="8" width="20.44140625" customWidth="1"/>
    <col min="13" max="13" width="10.6640625" customWidth="1"/>
    <col min="14" max="14" width="10" bestFit="1" customWidth="1"/>
    <col min="15" max="15" width="10.6640625" customWidth="1"/>
    <col min="18" max="18" width="9.6640625" bestFit="1" customWidth="1"/>
  </cols>
  <sheetData>
    <row r="1" spans="1:18" ht="18" x14ac:dyDescent="0.35">
      <c r="A1" s="66" t="s">
        <v>0</v>
      </c>
      <c r="B1" s="66"/>
      <c r="C1" s="66"/>
      <c r="D1" s="66"/>
      <c r="E1" s="66"/>
      <c r="F1" s="66"/>
      <c r="G1" s="66"/>
      <c r="H1" s="1"/>
      <c r="I1" s="2"/>
      <c r="J1" s="1"/>
      <c r="K1" s="1"/>
      <c r="L1" s="1"/>
      <c r="M1" s="1"/>
      <c r="N1" s="1"/>
      <c r="O1" s="1"/>
      <c r="P1" s="1"/>
    </row>
    <row r="2" spans="1:18" ht="15.6" x14ac:dyDescent="0.3">
      <c r="A2" s="3"/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</row>
    <row r="3" spans="1:18" ht="15.6" x14ac:dyDescent="0.3">
      <c r="A3" s="3"/>
      <c r="B3" s="5" t="s">
        <v>1</v>
      </c>
      <c r="C3" s="6" t="s">
        <v>43</v>
      </c>
      <c r="D3" s="7"/>
      <c r="E3" s="3"/>
      <c r="F3" s="5" t="s">
        <v>2</v>
      </c>
      <c r="G3" s="8">
        <v>4355</v>
      </c>
      <c r="H3" s="5" t="s">
        <v>41</v>
      </c>
      <c r="I3" s="36">
        <v>49</v>
      </c>
      <c r="J3" s="3"/>
      <c r="K3" s="3"/>
      <c r="L3" s="3"/>
      <c r="M3" s="3" t="s">
        <v>163</v>
      </c>
      <c r="N3" s="3"/>
      <c r="O3" s="3"/>
      <c r="P3" s="3">
        <v>1</v>
      </c>
      <c r="Q3" t="s">
        <v>167</v>
      </c>
      <c r="R3" s="57">
        <v>44702</v>
      </c>
    </row>
    <row r="4" spans="1:18" ht="15.6" x14ac:dyDescent="0.3">
      <c r="A4" s="3"/>
      <c r="B4" s="5" t="s">
        <v>3</v>
      </c>
      <c r="C4" s="37">
        <v>300155</v>
      </c>
      <c r="D4" s="7"/>
      <c r="E4" s="3"/>
      <c r="F4" s="5" t="s">
        <v>4</v>
      </c>
      <c r="G4" s="56">
        <f>J16+'6-13-22'!G4</f>
        <v>2210.25</v>
      </c>
      <c r="H4" s="34" t="s">
        <v>42</v>
      </c>
      <c r="I4" s="4">
        <v>30</v>
      </c>
      <c r="J4" s="3"/>
      <c r="K4" s="3"/>
      <c r="L4" s="3"/>
      <c r="M4" s="3"/>
      <c r="N4" s="3"/>
      <c r="O4" s="3"/>
      <c r="P4" s="3"/>
    </row>
    <row r="5" spans="1:18" ht="15.6" x14ac:dyDescent="0.3">
      <c r="A5" s="3"/>
      <c r="B5" s="5" t="s">
        <v>5</v>
      </c>
      <c r="C5" s="38">
        <v>44726</v>
      </c>
      <c r="D5" s="3"/>
      <c r="E5" s="3"/>
      <c r="F5" s="3"/>
      <c r="G5" s="3"/>
      <c r="H5" s="3"/>
      <c r="I5" s="4"/>
      <c r="J5" s="3"/>
      <c r="K5" s="3"/>
      <c r="L5" s="3"/>
      <c r="M5" s="3"/>
      <c r="N5" s="3"/>
      <c r="O5" s="3"/>
      <c r="P5" s="3"/>
    </row>
    <row r="6" spans="1:18" ht="15.6" x14ac:dyDescent="0.3">
      <c r="A6" s="3"/>
      <c r="B6" s="5"/>
      <c r="C6" s="3"/>
      <c r="D6" s="3"/>
      <c r="E6" s="3"/>
      <c r="F6" s="3"/>
      <c r="G6" s="3"/>
      <c r="H6" s="3"/>
      <c r="I6" s="4"/>
      <c r="J6" s="3"/>
      <c r="K6" s="3"/>
      <c r="L6" s="3"/>
      <c r="M6" s="3"/>
      <c r="N6" s="3"/>
      <c r="O6" s="3"/>
      <c r="P6" s="3"/>
    </row>
    <row r="7" spans="1:18" ht="15.6" x14ac:dyDescent="0.3">
      <c r="A7" s="10" t="s">
        <v>6</v>
      </c>
      <c r="B7" s="11"/>
      <c r="C7" s="12" t="s">
        <v>7</v>
      </c>
      <c r="D7" s="3"/>
      <c r="E7" s="12" t="s">
        <v>8</v>
      </c>
      <c r="F7" s="12" t="s">
        <v>34</v>
      </c>
      <c r="G7" s="3"/>
      <c r="H7" s="67" t="s">
        <v>7</v>
      </c>
      <c r="I7" s="67"/>
      <c r="J7" s="12" t="s">
        <v>8</v>
      </c>
      <c r="K7" s="3"/>
      <c r="L7" s="3"/>
      <c r="M7" s="3"/>
      <c r="N7" s="3"/>
      <c r="O7" s="3"/>
      <c r="P7" s="3"/>
    </row>
    <row r="8" spans="1:18" ht="15.6" x14ac:dyDescent="0.3">
      <c r="A8" s="13">
        <v>1</v>
      </c>
      <c r="B8" s="5" t="s">
        <v>9</v>
      </c>
      <c r="C8" s="14" t="s">
        <v>35</v>
      </c>
      <c r="D8" s="15"/>
      <c r="E8" s="35">
        <v>8.5</v>
      </c>
      <c r="F8" s="16">
        <v>66</v>
      </c>
      <c r="G8" s="11">
        <v>9</v>
      </c>
      <c r="H8" s="14" t="s">
        <v>40</v>
      </c>
      <c r="I8" s="8"/>
      <c r="J8" s="39">
        <v>8.5</v>
      </c>
      <c r="K8" s="3"/>
      <c r="L8" s="3"/>
      <c r="M8" s="3"/>
      <c r="N8" s="3"/>
      <c r="O8" s="3"/>
      <c r="P8" s="3"/>
    </row>
    <row r="9" spans="1:18" ht="15.6" x14ac:dyDescent="0.3">
      <c r="A9" s="13">
        <v>2</v>
      </c>
      <c r="B9" s="5" t="s">
        <v>10</v>
      </c>
      <c r="C9" s="14" t="s">
        <v>37</v>
      </c>
      <c r="D9" s="8"/>
      <c r="E9" s="35">
        <v>8.5</v>
      </c>
      <c r="F9" s="16"/>
      <c r="G9" s="11">
        <v>10</v>
      </c>
      <c r="H9" s="14"/>
      <c r="I9" s="8"/>
      <c r="J9" s="39"/>
      <c r="K9" s="3"/>
      <c r="L9" s="3"/>
      <c r="M9" s="3"/>
      <c r="N9" s="3"/>
      <c r="O9" s="3"/>
      <c r="P9" s="3"/>
    </row>
    <row r="10" spans="1:18" ht="15.6" x14ac:dyDescent="0.3">
      <c r="A10" s="13">
        <v>3</v>
      </c>
      <c r="B10" s="5" t="s">
        <v>11</v>
      </c>
      <c r="C10" s="14" t="s">
        <v>36</v>
      </c>
      <c r="D10" s="8"/>
      <c r="E10" s="35">
        <v>8.5</v>
      </c>
      <c r="F10" s="16">
        <v>78</v>
      </c>
      <c r="G10" s="11">
        <v>11</v>
      </c>
      <c r="H10" s="3"/>
      <c r="I10" s="8"/>
      <c r="J10" s="39"/>
      <c r="K10" s="3"/>
      <c r="L10" s="3"/>
      <c r="M10" s="3"/>
      <c r="N10" s="3"/>
      <c r="O10" s="3"/>
      <c r="P10" s="3"/>
    </row>
    <row r="11" spans="1:18" ht="15.6" x14ac:dyDescent="0.3">
      <c r="A11" s="13">
        <v>4</v>
      </c>
      <c r="B11" s="5" t="s">
        <v>12</v>
      </c>
      <c r="C11" s="14" t="s">
        <v>29</v>
      </c>
      <c r="D11" s="8"/>
      <c r="E11" s="35">
        <v>8.5</v>
      </c>
      <c r="F11" s="16"/>
      <c r="G11" s="11">
        <v>12</v>
      </c>
      <c r="H11" s="3"/>
      <c r="I11" s="8"/>
      <c r="J11" s="39"/>
      <c r="K11" s="3"/>
      <c r="L11" s="3"/>
      <c r="M11" s="3"/>
      <c r="N11" s="3"/>
      <c r="O11" s="3"/>
      <c r="P11" s="3"/>
    </row>
    <row r="12" spans="1:18" ht="15.6" x14ac:dyDescent="0.3">
      <c r="A12" s="13">
        <v>5</v>
      </c>
      <c r="B12" s="3"/>
      <c r="C12" s="31" t="s">
        <v>30</v>
      </c>
      <c r="D12" s="8"/>
      <c r="E12" s="35">
        <v>8.5</v>
      </c>
      <c r="F12" s="16"/>
      <c r="G12" s="11">
        <v>13</v>
      </c>
      <c r="H12" s="3"/>
      <c r="I12" s="8"/>
      <c r="J12" s="39"/>
      <c r="K12" s="3"/>
      <c r="L12" s="3"/>
      <c r="M12" s="3"/>
      <c r="N12" s="3"/>
      <c r="O12" s="3"/>
      <c r="P12" s="3"/>
    </row>
    <row r="13" spans="1:18" ht="15.6" x14ac:dyDescent="0.3">
      <c r="A13" s="13">
        <v>6</v>
      </c>
      <c r="B13" s="3"/>
      <c r="C13" s="14" t="s">
        <v>31</v>
      </c>
      <c r="D13" s="8"/>
      <c r="E13" s="35">
        <v>8.5</v>
      </c>
      <c r="F13" s="16">
        <v>74</v>
      </c>
      <c r="G13" s="11">
        <v>14</v>
      </c>
      <c r="H13" s="18"/>
      <c r="I13" s="8"/>
      <c r="J13" s="39"/>
      <c r="K13" s="3"/>
      <c r="L13" s="3"/>
      <c r="M13" s="3"/>
      <c r="N13" s="3"/>
      <c r="O13" s="3"/>
      <c r="P13" s="3"/>
    </row>
    <row r="14" spans="1:18" ht="15.6" x14ac:dyDescent="0.3">
      <c r="A14" s="13">
        <v>7</v>
      </c>
      <c r="B14" s="5" t="s">
        <v>52</v>
      </c>
      <c r="C14" s="14" t="s">
        <v>39</v>
      </c>
      <c r="D14" s="8"/>
      <c r="E14" s="35">
        <v>8.5</v>
      </c>
      <c r="F14" s="16"/>
      <c r="G14" s="11">
        <v>15</v>
      </c>
      <c r="H14" s="3"/>
      <c r="I14" s="8"/>
      <c r="J14" s="39"/>
      <c r="K14" s="3"/>
      <c r="L14" s="3"/>
      <c r="M14" s="3"/>
      <c r="N14" s="3"/>
      <c r="O14" s="3"/>
      <c r="P14" s="3"/>
    </row>
    <row r="15" spans="1:18" ht="15.6" x14ac:dyDescent="0.3">
      <c r="A15" s="13">
        <v>8</v>
      </c>
      <c r="B15" s="3"/>
      <c r="C15" s="14" t="s">
        <v>38</v>
      </c>
      <c r="D15" s="8"/>
      <c r="E15" s="35">
        <v>8.5</v>
      </c>
      <c r="F15" s="16"/>
      <c r="G15" s="11">
        <v>16</v>
      </c>
      <c r="H15" s="3"/>
      <c r="I15" s="8"/>
      <c r="J15" s="39"/>
      <c r="K15" s="3"/>
      <c r="L15" s="3"/>
      <c r="M15" s="3"/>
      <c r="N15" s="3"/>
      <c r="O15" s="3"/>
      <c r="P15" s="3"/>
    </row>
    <row r="16" spans="1:18" ht="15.6" x14ac:dyDescent="0.3">
      <c r="A16" s="3"/>
      <c r="B16" s="3"/>
      <c r="C16" s="3"/>
      <c r="D16" s="3"/>
      <c r="E16" s="3"/>
      <c r="F16" s="3"/>
      <c r="G16" s="13"/>
      <c r="H16" s="7" t="s">
        <v>13</v>
      </c>
      <c r="I16" s="3"/>
      <c r="J16" s="8">
        <f>SUM(E8:E15)+SUM(J8:J15)</f>
        <v>76.5</v>
      </c>
      <c r="K16" s="3"/>
      <c r="L16" s="3"/>
      <c r="M16" s="3"/>
      <c r="N16" s="3"/>
      <c r="O16" s="3"/>
      <c r="P16" s="3"/>
    </row>
    <row r="17" spans="1:16" ht="15.6" x14ac:dyDescent="0.3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  <c r="L17" s="3"/>
      <c r="M17" s="3"/>
      <c r="N17" s="3"/>
      <c r="O17" s="3"/>
      <c r="P17" s="3"/>
    </row>
    <row r="18" spans="1:16" ht="93.6" x14ac:dyDescent="0.3">
      <c r="A18" s="19"/>
      <c r="B18" s="20" t="s">
        <v>14</v>
      </c>
      <c r="C18" s="21" t="s">
        <v>15</v>
      </c>
      <c r="D18" s="22" t="s">
        <v>16</v>
      </c>
      <c r="E18" s="22" t="s">
        <v>17</v>
      </c>
      <c r="F18" s="22" t="s">
        <v>18</v>
      </c>
      <c r="G18" s="22" t="s">
        <v>19</v>
      </c>
      <c r="H18" s="22" t="s">
        <v>18</v>
      </c>
      <c r="I18" s="22" t="s">
        <v>19</v>
      </c>
      <c r="J18" s="22" t="s">
        <v>20</v>
      </c>
      <c r="K18" s="23" t="s">
        <v>21</v>
      </c>
      <c r="L18" s="24"/>
      <c r="M18" s="23" t="s">
        <v>22</v>
      </c>
      <c r="N18" s="23" t="s">
        <v>23</v>
      </c>
      <c r="O18" s="23" t="s">
        <v>24</v>
      </c>
      <c r="P18" s="23" t="s">
        <v>25</v>
      </c>
    </row>
    <row r="19" spans="1:16" ht="15.6" x14ac:dyDescent="0.3">
      <c r="A19" s="19"/>
      <c r="B19" s="19"/>
      <c r="C19" s="24"/>
      <c r="D19" s="24"/>
      <c r="E19" s="24"/>
      <c r="F19" s="24"/>
      <c r="G19" s="24"/>
      <c r="H19" s="24"/>
      <c r="I19" s="24"/>
      <c r="J19" s="24"/>
      <c r="K19" s="25"/>
      <c r="L19" s="24"/>
      <c r="M19" s="3"/>
      <c r="N19" s="3"/>
      <c r="O19" s="3"/>
      <c r="P19" s="3"/>
    </row>
    <row r="20" spans="1:16" ht="15.6" x14ac:dyDescent="0.3">
      <c r="A20" s="3"/>
      <c r="B20" s="8" t="s">
        <v>26</v>
      </c>
      <c r="C20" s="8">
        <v>1</v>
      </c>
      <c r="D20" s="8">
        <v>1</v>
      </c>
      <c r="E20" s="8"/>
      <c r="F20" s="8"/>
      <c r="G20" s="35">
        <v>0</v>
      </c>
      <c r="H20" s="8"/>
      <c r="I20" s="16"/>
      <c r="J20" s="35">
        <f>F20*G20+H20*I20</f>
        <v>0</v>
      </c>
      <c r="K20" s="16" t="e">
        <f>E20/(J20)</f>
        <v>#DIV/0!</v>
      </c>
      <c r="L20" s="3"/>
      <c r="M20" s="26">
        <v>0</v>
      </c>
      <c r="N20" s="27">
        <f>M20/C20</f>
        <v>0</v>
      </c>
      <c r="O20" s="35">
        <f>J20+'6-13-22'!O20</f>
        <v>108</v>
      </c>
      <c r="P20" s="26">
        <f>M20/O20</f>
        <v>0</v>
      </c>
    </row>
    <row r="21" spans="1:16" ht="15.6" x14ac:dyDescent="0.3">
      <c r="A21" s="3"/>
      <c r="B21" s="3"/>
      <c r="C21" s="3"/>
      <c r="D21" s="3"/>
      <c r="E21" s="3"/>
      <c r="F21" s="3"/>
      <c r="G21" s="40"/>
      <c r="H21" s="3"/>
      <c r="I21" s="28"/>
      <c r="J21" s="40"/>
      <c r="K21" s="28"/>
      <c r="L21" s="3"/>
      <c r="M21" s="29"/>
      <c r="N21" s="3"/>
      <c r="O21" s="3"/>
      <c r="P21" s="3"/>
    </row>
    <row r="22" spans="1:16" ht="15.6" x14ac:dyDescent="0.3">
      <c r="A22" s="3"/>
      <c r="B22" s="8" t="s">
        <v>53</v>
      </c>
      <c r="C22" s="8">
        <v>125400</v>
      </c>
      <c r="D22" s="41"/>
      <c r="E22" s="41"/>
      <c r="F22" s="8"/>
      <c r="G22" s="35"/>
      <c r="H22" s="8"/>
      <c r="I22" s="16"/>
      <c r="J22" s="35">
        <f>F22*G22+H22*I22</f>
        <v>0</v>
      </c>
      <c r="K22" s="16" t="e">
        <f>E22/(J22)</f>
        <v>#DIV/0!</v>
      </c>
      <c r="L22" s="3"/>
      <c r="M22" s="26">
        <f>E22+'6-13-22'!M22</f>
        <v>125400</v>
      </c>
      <c r="N22" s="27">
        <f>M22/C22</f>
        <v>1</v>
      </c>
      <c r="O22" s="35">
        <f>J22+'6-13-22'!O22</f>
        <v>679.75</v>
      </c>
      <c r="P22" s="26">
        <f>M22/O22</f>
        <v>184.47958808385437</v>
      </c>
    </row>
    <row r="23" spans="1:16" ht="15.6" x14ac:dyDescent="0.3">
      <c r="A23" s="3"/>
      <c r="B23" s="3"/>
      <c r="C23" s="3"/>
      <c r="D23" s="3"/>
      <c r="E23" s="3"/>
      <c r="F23" s="3"/>
      <c r="G23" s="40"/>
      <c r="H23" s="3"/>
      <c r="I23" s="28"/>
      <c r="J23" s="40"/>
      <c r="K23" s="28"/>
      <c r="L23" s="3"/>
      <c r="M23" s="29"/>
      <c r="N23" s="3"/>
      <c r="O23" s="36"/>
      <c r="P23" s="29"/>
    </row>
    <row r="24" spans="1:16" ht="15.6" x14ac:dyDescent="0.3">
      <c r="A24" s="3"/>
      <c r="B24" s="8" t="s">
        <v>54</v>
      </c>
      <c r="C24" s="8">
        <v>125400</v>
      </c>
      <c r="D24" s="8"/>
      <c r="E24" s="8"/>
      <c r="F24" s="8"/>
      <c r="G24" s="35"/>
      <c r="H24" s="8"/>
      <c r="I24" s="16"/>
      <c r="J24" s="35">
        <f>F24*G24+H24*I24</f>
        <v>0</v>
      </c>
      <c r="K24" s="16" t="e">
        <f>E24/(J24)</f>
        <v>#DIV/0!</v>
      </c>
      <c r="L24" s="3"/>
      <c r="M24" s="26">
        <f>E24+'6-13-22'!M24</f>
        <v>125400</v>
      </c>
      <c r="N24" s="27">
        <f>M24/C24</f>
        <v>1</v>
      </c>
      <c r="O24" s="35">
        <f>J24+'6-13-22'!O24</f>
        <v>449.75</v>
      </c>
      <c r="P24" s="26">
        <f>M24/O24</f>
        <v>278.82156753752082</v>
      </c>
    </row>
    <row r="25" spans="1:16" ht="15.6" x14ac:dyDescent="0.3">
      <c r="A25" s="3"/>
      <c r="B25" s="3"/>
      <c r="C25" s="3"/>
      <c r="D25" s="3"/>
      <c r="E25" s="3"/>
      <c r="F25" s="3"/>
      <c r="G25" s="36"/>
      <c r="H25" s="3"/>
      <c r="I25" s="4"/>
      <c r="J25" s="36"/>
      <c r="K25" s="4"/>
      <c r="L25" s="3"/>
      <c r="M25" s="29"/>
      <c r="N25" s="3"/>
      <c r="O25" s="3"/>
      <c r="P25" s="3"/>
    </row>
    <row r="26" spans="1:16" ht="15.6" x14ac:dyDescent="0.3">
      <c r="A26" s="3"/>
      <c r="B26" s="8" t="s">
        <v>44</v>
      </c>
      <c r="C26" s="8">
        <v>3040</v>
      </c>
      <c r="D26" s="8"/>
      <c r="E26" s="8"/>
      <c r="F26" s="8"/>
      <c r="G26" s="35"/>
      <c r="H26" s="8"/>
      <c r="I26" s="16"/>
      <c r="J26" s="35">
        <f>F26*G26+H26*I26</f>
        <v>0</v>
      </c>
      <c r="K26" s="16" t="e">
        <f>E26/(J26)</f>
        <v>#DIV/0!</v>
      </c>
      <c r="L26" s="3"/>
      <c r="M26" s="26">
        <f>E26+'6-13-22'!M26</f>
        <v>1516</v>
      </c>
      <c r="N26" s="27">
        <f>M26/C26</f>
        <v>0.49868421052631579</v>
      </c>
      <c r="O26" s="35">
        <f>J26+'6-13-22'!O26</f>
        <v>101</v>
      </c>
      <c r="P26" s="26">
        <f>M26/O26</f>
        <v>15.009900990099009</v>
      </c>
    </row>
    <row r="27" spans="1:16" ht="15.6" x14ac:dyDescent="0.3">
      <c r="A27" s="3"/>
      <c r="B27" s="3"/>
      <c r="C27" s="3"/>
      <c r="D27" s="3"/>
      <c r="E27" s="3"/>
      <c r="F27" s="3"/>
      <c r="G27" s="36"/>
      <c r="H27" s="3"/>
      <c r="I27" s="4"/>
      <c r="J27" s="36"/>
      <c r="K27" s="4"/>
      <c r="L27" s="3"/>
      <c r="M27" s="29"/>
      <c r="N27" s="3"/>
      <c r="O27" s="3"/>
      <c r="P27" s="3"/>
    </row>
    <row r="28" spans="1:16" ht="15.6" x14ac:dyDescent="0.3">
      <c r="A28" s="3"/>
      <c r="B28" s="8" t="s">
        <v>45</v>
      </c>
      <c r="C28" s="8">
        <v>3040</v>
      </c>
      <c r="D28" s="8"/>
      <c r="E28" s="8"/>
      <c r="F28" s="8"/>
      <c r="G28" s="35"/>
      <c r="H28" s="8"/>
      <c r="I28" s="16"/>
      <c r="J28" s="35">
        <f>F28*G28+H28*I28</f>
        <v>0</v>
      </c>
      <c r="K28" s="16" t="e">
        <f>E28/(J28)</f>
        <v>#DIV/0!</v>
      </c>
      <c r="L28" s="3"/>
      <c r="M28" s="26">
        <f>E28+'6-13-22'!M28</f>
        <v>853</v>
      </c>
      <c r="N28" s="27">
        <f>M28/C28</f>
        <v>0.28059210526315792</v>
      </c>
      <c r="O28" s="35">
        <f>J28+'6-13-22'!O28</f>
        <v>82</v>
      </c>
      <c r="P28" s="26">
        <f>M28/O28</f>
        <v>10.402439024390244</v>
      </c>
    </row>
    <row r="29" spans="1:16" ht="15.6" x14ac:dyDescent="0.3">
      <c r="A29" s="3"/>
      <c r="B29" s="3"/>
      <c r="C29" s="3"/>
      <c r="D29" s="3"/>
      <c r="E29" s="3"/>
      <c r="F29" s="3"/>
      <c r="G29" s="36"/>
      <c r="H29" s="3"/>
      <c r="I29" s="4"/>
      <c r="J29" s="36"/>
      <c r="K29" s="4"/>
      <c r="L29" s="3"/>
      <c r="M29" s="29"/>
      <c r="N29" s="3"/>
      <c r="O29" s="3"/>
      <c r="P29" s="3"/>
    </row>
    <row r="30" spans="1:16" ht="15.6" x14ac:dyDescent="0.3">
      <c r="A30" s="3"/>
      <c r="B30" s="8" t="s">
        <v>47</v>
      </c>
      <c r="C30" s="8">
        <v>125400</v>
      </c>
      <c r="D30" s="8"/>
      <c r="E30" s="8">
        <v>11220</v>
      </c>
      <c r="F30" s="8">
        <v>9</v>
      </c>
      <c r="G30" s="35">
        <v>8.5</v>
      </c>
      <c r="H30" s="8"/>
      <c r="I30" s="35"/>
      <c r="J30" s="35">
        <f>F30*G30+H30*I30</f>
        <v>76.5</v>
      </c>
      <c r="K30" s="16">
        <f>E30/(J30)</f>
        <v>146.66666666666666</v>
      </c>
      <c r="L30" s="3"/>
      <c r="M30" s="26">
        <f>E30+'6-13-22'!M30</f>
        <v>72930</v>
      </c>
      <c r="N30" s="27">
        <f>M30/C30</f>
        <v>0.58157894736842108</v>
      </c>
      <c r="O30" s="35">
        <f>J30+'6-13-22'!O30</f>
        <v>396.75</v>
      </c>
      <c r="P30" s="26">
        <f>M30/O30</f>
        <v>183.81852551984878</v>
      </c>
    </row>
    <row r="31" spans="1:16" ht="15.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7"/>
      <c r="O31" s="3"/>
      <c r="P31" s="3"/>
    </row>
    <row r="32" spans="1:16" ht="15.6" x14ac:dyDescent="0.3">
      <c r="A32" s="3"/>
      <c r="B32" s="8" t="s">
        <v>46</v>
      </c>
      <c r="C32" s="8">
        <v>324</v>
      </c>
      <c r="D32" s="8"/>
      <c r="E32" s="8"/>
      <c r="F32" s="8"/>
      <c r="G32" s="35"/>
      <c r="H32" s="8"/>
      <c r="I32" s="16"/>
      <c r="J32" s="35">
        <f>F32*G32+H32*I32</f>
        <v>0</v>
      </c>
      <c r="K32" s="16" t="e">
        <f>E32/(J32)</f>
        <v>#DIV/0!</v>
      </c>
      <c r="L32" s="3"/>
      <c r="M32" s="26">
        <f>E32+'6-13-22'!M32</f>
        <v>0</v>
      </c>
      <c r="N32" s="27">
        <f>M32/C32</f>
        <v>0</v>
      </c>
      <c r="O32" s="35">
        <f>J32+'6-13-22'!O32</f>
        <v>0</v>
      </c>
      <c r="P32" s="26" t="e">
        <f>M32/O32</f>
        <v>#DIV/0!</v>
      </c>
    </row>
    <row r="33" spans="1:16" ht="15.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7"/>
      <c r="O33" s="3"/>
      <c r="P33" s="3"/>
    </row>
    <row r="34" spans="1:16" ht="15.6" x14ac:dyDescent="0.3">
      <c r="A34" s="3"/>
      <c r="B34" s="8" t="s">
        <v>48</v>
      </c>
      <c r="C34" s="8">
        <v>115000</v>
      </c>
      <c r="D34" s="8"/>
      <c r="E34" s="8"/>
      <c r="F34" s="8"/>
      <c r="G34" s="35"/>
      <c r="H34" s="8"/>
      <c r="I34" s="16"/>
      <c r="J34" s="35">
        <f>F34*G34+H34*I34</f>
        <v>0</v>
      </c>
      <c r="K34" s="16" t="e">
        <f>E34/(J34)</f>
        <v>#DIV/0!</v>
      </c>
      <c r="L34" s="3"/>
      <c r="M34" s="26">
        <f>E34+'6-13-22'!M34</f>
        <v>0</v>
      </c>
      <c r="N34" s="27">
        <f>M34/C34</f>
        <v>0</v>
      </c>
      <c r="O34" s="35">
        <f>J34+'6-13-22'!O34</f>
        <v>0</v>
      </c>
      <c r="P34" s="26" t="e">
        <f>M34/O34</f>
        <v>#DIV/0!</v>
      </c>
    </row>
    <row r="35" spans="1:16" ht="15.6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27"/>
      <c r="O35" s="3"/>
      <c r="P35" s="3"/>
    </row>
    <row r="36" spans="1:16" ht="15.6" x14ac:dyDescent="0.3">
      <c r="A36" s="3"/>
      <c r="B36" s="8" t="s">
        <v>49</v>
      </c>
      <c r="C36" s="8">
        <v>8</v>
      </c>
      <c r="D36" s="8"/>
      <c r="E36" s="8"/>
      <c r="F36" s="8"/>
      <c r="G36" s="35"/>
      <c r="H36" s="8"/>
      <c r="I36" s="16"/>
      <c r="J36" s="35">
        <f>F36*G36+H36*I36</f>
        <v>0</v>
      </c>
      <c r="K36" s="16" t="e">
        <f>E36/(J36)</f>
        <v>#DIV/0!</v>
      </c>
      <c r="L36" s="3"/>
      <c r="M36" s="26">
        <f>E36+'6-13-22'!M36</f>
        <v>0</v>
      </c>
      <c r="N36" s="27">
        <f>M36/C36</f>
        <v>0</v>
      </c>
      <c r="O36" s="35">
        <f>J36+'6-13-22'!O36</f>
        <v>24</v>
      </c>
      <c r="P36" s="26">
        <f>M36/O36</f>
        <v>0</v>
      </c>
    </row>
    <row r="37" spans="1:16" ht="15.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27"/>
      <c r="O37" s="3"/>
      <c r="P37" s="3"/>
    </row>
    <row r="38" spans="1:16" ht="15.6" x14ac:dyDescent="0.3">
      <c r="A38" s="3"/>
      <c r="B38" s="8" t="s">
        <v>50</v>
      </c>
      <c r="C38" s="8">
        <f>2760+480</f>
        <v>3240</v>
      </c>
      <c r="D38" s="8"/>
      <c r="E38" s="8"/>
      <c r="F38" s="8"/>
      <c r="G38" s="35"/>
      <c r="H38" s="8"/>
      <c r="I38" s="16"/>
      <c r="J38" s="35">
        <f>F38*G38+H38*I38</f>
        <v>0</v>
      </c>
      <c r="K38" s="16" t="e">
        <f>E38/(J38)</f>
        <v>#DIV/0!</v>
      </c>
      <c r="L38" s="3"/>
      <c r="M38" s="26">
        <f>E38+'6-13-22'!M38</f>
        <v>555</v>
      </c>
      <c r="N38" s="27">
        <f>M38/C38</f>
        <v>0.17129629629629631</v>
      </c>
      <c r="O38" s="35">
        <f>J38+'6-13-22'!O38</f>
        <v>44.25</v>
      </c>
      <c r="P38" s="26">
        <f>M38/O38</f>
        <v>12.542372881355933</v>
      </c>
    </row>
    <row r="39" spans="1:16" ht="15.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7"/>
      <c r="O39" s="3"/>
      <c r="P39" s="3"/>
    </row>
    <row r="40" spans="1:16" ht="15.6" x14ac:dyDescent="0.3">
      <c r="A40" s="3"/>
      <c r="B40" s="8" t="s">
        <v>115</v>
      </c>
      <c r="C40" s="8">
        <v>25</v>
      </c>
      <c r="D40" s="8"/>
      <c r="E40" s="8"/>
      <c r="F40" s="8"/>
      <c r="G40" s="35"/>
      <c r="H40" s="8"/>
      <c r="I40" s="16"/>
      <c r="J40" s="35">
        <f>F40*G40+H40*I40</f>
        <v>0</v>
      </c>
      <c r="K40" s="16" t="e">
        <f>E40/(J40)</f>
        <v>#DIV/0!</v>
      </c>
      <c r="L40" s="3"/>
      <c r="M40" s="26">
        <f>E40+'6-13-22'!M40</f>
        <v>0</v>
      </c>
      <c r="N40" s="27">
        <f>M40/C40</f>
        <v>0</v>
      </c>
      <c r="O40" s="35">
        <f>J40+'6-13-22'!O40</f>
        <v>0</v>
      </c>
      <c r="P40" s="26" t="e">
        <f>M40/O40</f>
        <v>#DIV/0!</v>
      </c>
    </row>
    <row r="41" spans="1:16" ht="15.6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27"/>
      <c r="O41" s="3"/>
      <c r="P41" s="3"/>
    </row>
    <row r="42" spans="1:16" ht="15.6" x14ac:dyDescent="0.3">
      <c r="A42" s="3"/>
      <c r="B42" s="8" t="s">
        <v>113</v>
      </c>
      <c r="C42" s="8" t="s">
        <v>52</v>
      </c>
      <c r="D42" s="8"/>
      <c r="E42" s="8"/>
      <c r="F42" s="8"/>
      <c r="G42" s="35"/>
      <c r="H42" s="8"/>
      <c r="I42" s="16"/>
      <c r="J42" s="35">
        <f>F42*G42+H42*I42</f>
        <v>0</v>
      </c>
      <c r="K42" s="16" t="e">
        <f>E42/(J42)</f>
        <v>#DIV/0!</v>
      </c>
      <c r="L42" s="3"/>
      <c r="M42" s="26">
        <f>E42+'6-13-22'!M42</f>
        <v>0</v>
      </c>
      <c r="N42" s="53" t="e">
        <f>M42/C42</f>
        <v>#VALUE!</v>
      </c>
      <c r="O42" s="35">
        <f>J42+'6-13-22'!O42</f>
        <v>0</v>
      </c>
      <c r="P42" s="26" t="e">
        <f>M42/O42</f>
        <v>#DIV/0!</v>
      </c>
    </row>
    <row r="43" spans="1:16" ht="15.6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27"/>
      <c r="O43" s="3"/>
      <c r="P43" s="3"/>
    </row>
    <row r="44" spans="1:16" ht="15.6" x14ac:dyDescent="0.3">
      <c r="A44" s="3"/>
      <c r="B44" s="8" t="s">
        <v>114</v>
      </c>
      <c r="C44" s="8" t="s">
        <v>52</v>
      </c>
      <c r="D44" s="8"/>
      <c r="E44" s="8"/>
      <c r="F44" s="8"/>
      <c r="G44" s="35"/>
      <c r="H44" s="8"/>
      <c r="I44" s="16"/>
      <c r="J44" s="35">
        <f>F44*G44+H44*I44</f>
        <v>0</v>
      </c>
      <c r="K44" s="16" t="e">
        <f>E44/(J44)</f>
        <v>#DIV/0!</v>
      </c>
      <c r="L44" s="3"/>
      <c r="M44" s="26" t="e">
        <f>E44+'6-13-22'!M44</f>
        <v>#VALUE!</v>
      </c>
      <c r="N44" s="53" t="e">
        <f>M44/C44</f>
        <v>#VALUE!</v>
      </c>
      <c r="O44" s="35">
        <f>J44+'6-13-22'!O44</f>
        <v>99</v>
      </c>
      <c r="P44" s="26" t="e">
        <f>M44/O44</f>
        <v>#VALUE!</v>
      </c>
    </row>
    <row r="45" spans="1:16" ht="15.6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27"/>
      <c r="O45" s="3"/>
      <c r="P45" s="3"/>
    </row>
    <row r="46" spans="1:16" ht="15.6" x14ac:dyDescent="0.3">
      <c r="A46" s="3"/>
      <c r="B46" s="8" t="s">
        <v>75</v>
      </c>
      <c r="C46" s="8"/>
      <c r="D46" s="8" t="s">
        <v>52</v>
      </c>
      <c r="E46" s="8"/>
      <c r="F46" s="8"/>
      <c r="G46" s="35"/>
      <c r="H46" s="8"/>
      <c r="I46" s="16"/>
      <c r="J46" s="35">
        <f>F46*G46+H46*I46</f>
        <v>0</v>
      </c>
      <c r="K46" s="16" t="e">
        <f>E46/(J46)</f>
        <v>#DIV/0!</v>
      </c>
      <c r="L46" s="3"/>
      <c r="M46" s="26">
        <f>E46+'6-13-22'!M46</f>
        <v>0</v>
      </c>
      <c r="N46" s="53" t="e">
        <f>M46/C46</f>
        <v>#DIV/0!</v>
      </c>
      <c r="O46" s="35">
        <f>J46+'6-13-22'!O46</f>
        <v>225.75</v>
      </c>
      <c r="P46" s="26">
        <f>M46/O46</f>
        <v>0</v>
      </c>
    </row>
    <row r="47" spans="1:16" ht="15.6" x14ac:dyDescent="0.3">
      <c r="A47" s="3"/>
      <c r="B47" s="3" t="s">
        <v>27</v>
      </c>
      <c r="C47" s="3"/>
      <c r="D47" s="3" t="s">
        <v>52</v>
      </c>
      <c r="E47" s="3"/>
      <c r="F47" s="3"/>
      <c r="G47" s="3"/>
      <c r="H47" s="30"/>
      <c r="I47" s="4"/>
      <c r="J47" s="3">
        <f>J20+J22+J24+J26+J28+J30+J32+J34+J36+J38+J40+J42+J44+J46</f>
        <v>76.5</v>
      </c>
      <c r="K47" s="3"/>
      <c r="L47" s="3"/>
      <c r="M47" s="3"/>
      <c r="N47" s="3"/>
      <c r="O47" s="3">
        <f>O20+O22+O24+O26+O28+O30+O32+O34+O36+O38+O40+O42+O44+O46</f>
        <v>2210.25</v>
      </c>
      <c r="P47" s="3"/>
    </row>
    <row r="48" spans="1:16" ht="15.6" x14ac:dyDescent="0.3">
      <c r="A48" s="3"/>
      <c r="B48" s="3"/>
      <c r="C48" s="3"/>
      <c r="D48" s="3"/>
      <c r="E48" s="3"/>
      <c r="F48" s="3"/>
      <c r="G48" s="3"/>
      <c r="H48" s="3"/>
      <c r="I48" s="4"/>
      <c r="J48" s="3"/>
      <c r="K48" s="3"/>
      <c r="L48" s="3"/>
      <c r="M48" s="3"/>
      <c r="N48" s="3"/>
      <c r="O48" s="3"/>
      <c r="P48" s="3"/>
    </row>
    <row r="49" spans="1:16" ht="15.6" x14ac:dyDescent="0.3">
      <c r="A49" s="3"/>
      <c r="B49" s="3" t="s">
        <v>28</v>
      </c>
      <c r="C49" s="3" t="s">
        <v>164</v>
      </c>
      <c r="D49" s="3"/>
      <c r="E49" s="3"/>
      <c r="F49" s="3"/>
      <c r="G49" s="3"/>
      <c r="H49" s="3"/>
      <c r="I49" s="4"/>
      <c r="J49" s="3"/>
      <c r="K49" s="3"/>
      <c r="L49" s="3"/>
      <c r="M49" s="3"/>
      <c r="N49" s="3"/>
      <c r="O49" s="3"/>
      <c r="P49" s="3"/>
    </row>
    <row r="50" spans="1:16" ht="15.6" x14ac:dyDescent="0.3">
      <c r="C50" s="33"/>
    </row>
    <row r="51" spans="1:16" ht="15.6" x14ac:dyDescent="0.3">
      <c r="B51" s="3" t="s">
        <v>32</v>
      </c>
      <c r="C51" s="33" t="s">
        <v>165</v>
      </c>
    </row>
    <row r="52" spans="1:16" ht="15.6" x14ac:dyDescent="0.3">
      <c r="C52" s="33"/>
    </row>
    <row r="53" spans="1:16" ht="15.6" x14ac:dyDescent="0.3">
      <c r="B53" s="3" t="s">
        <v>33</v>
      </c>
      <c r="C53" s="3" t="s">
        <v>166</v>
      </c>
    </row>
    <row r="54" spans="1:16" ht="15.6" x14ac:dyDescent="0.3">
      <c r="C54" s="33"/>
    </row>
    <row r="55" spans="1:16" ht="15.6" x14ac:dyDescent="0.3">
      <c r="C55" s="33" t="s">
        <v>52</v>
      </c>
    </row>
    <row r="57" spans="1:16" x14ac:dyDescent="0.3">
      <c r="C57" t="s">
        <v>52</v>
      </c>
      <c r="D57" t="s">
        <v>52</v>
      </c>
    </row>
    <row r="58" spans="1:16" x14ac:dyDescent="0.3">
      <c r="C58" t="s">
        <v>52</v>
      </c>
      <c r="D58" t="s">
        <v>52</v>
      </c>
    </row>
  </sheetData>
  <mergeCells count="2">
    <mergeCell ref="A1:G1"/>
    <mergeCell ref="H7:I7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3DE8C-4319-4589-B26D-738180C279B3}">
  <dimension ref="A1:P58"/>
  <sheetViews>
    <sheetView zoomScale="85" zoomScaleNormal="85" workbookViewId="0">
      <selection activeCell="I5" sqref="I5"/>
    </sheetView>
  </sheetViews>
  <sheetFormatPr defaultRowHeight="14.4" x14ac:dyDescent="0.3"/>
  <cols>
    <col min="1" max="1" width="11.33203125" customWidth="1"/>
    <col min="2" max="2" width="29.33203125" customWidth="1"/>
    <col min="3" max="3" width="22.109375" customWidth="1"/>
    <col min="4" max="4" width="14.88671875" customWidth="1"/>
    <col min="5" max="5" width="16.6640625" customWidth="1"/>
    <col min="6" max="6" width="17.44140625" customWidth="1"/>
    <col min="8" max="8" width="20.44140625" customWidth="1"/>
    <col min="13" max="13" width="10.6640625" customWidth="1"/>
    <col min="14" max="14" width="10" bestFit="1" customWidth="1"/>
    <col min="15" max="15" width="10.6640625" customWidth="1"/>
  </cols>
  <sheetData>
    <row r="1" spans="1:16" ht="18" x14ac:dyDescent="0.35">
      <c r="A1" s="66" t="s">
        <v>0</v>
      </c>
      <c r="B1" s="66"/>
      <c r="C1" s="66"/>
      <c r="D1" s="66"/>
      <c r="E1" s="66"/>
      <c r="F1" s="66"/>
      <c r="G1" s="66"/>
      <c r="H1" s="1"/>
      <c r="I1" s="2"/>
      <c r="J1" s="1"/>
      <c r="K1" s="1"/>
      <c r="L1" s="1"/>
      <c r="M1" s="1"/>
      <c r="N1" s="1"/>
      <c r="O1" s="1"/>
      <c r="P1" s="1"/>
    </row>
    <row r="2" spans="1:16" ht="15.6" x14ac:dyDescent="0.3">
      <c r="A2" s="3"/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</row>
    <row r="3" spans="1:16" ht="15.6" x14ac:dyDescent="0.3">
      <c r="A3" s="3"/>
      <c r="B3" s="5" t="s">
        <v>1</v>
      </c>
      <c r="C3" s="6" t="s">
        <v>43</v>
      </c>
      <c r="D3" s="7"/>
      <c r="E3" s="3"/>
      <c r="F3" s="5" t="s">
        <v>2</v>
      </c>
      <c r="G3" s="8">
        <v>4355</v>
      </c>
      <c r="H3" s="5" t="s">
        <v>41</v>
      </c>
      <c r="I3" s="36">
        <v>49</v>
      </c>
      <c r="J3" s="3"/>
      <c r="K3" s="3"/>
      <c r="L3" s="3"/>
      <c r="M3" s="3"/>
      <c r="N3" s="3"/>
      <c r="O3" s="3"/>
      <c r="P3" s="3"/>
    </row>
    <row r="4" spans="1:16" ht="15.6" x14ac:dyDescent="0.3">
      <c r="A4" s="3"/>
      <c r="B4" s="5" t="s">
        <v>3</v>
      </c>
      <c r="C4" s="37">
        <v>300155</v>
      </c>
      <c r="D4" s="7"/>
      <c r="E4" s="3"/>
      <c r="F4" s="5" t="s">
        <v>4</v>
      </c>
      <c r="G4" s="8">
        <f>J16+'6-12-22'!G4</f>
        <v>2133.75</v>
      </c>
      <c r="H4" s="34" t="s">
        <v>42</v>
      </c>
      <c r="I4" s="4">
        <v>29</v>
      </c>
      <c r="J4" s="3"/>
      <c r="K4" s="3"/>
      <c r="L4" s="3"/>
      <c r="M4" s="3"/>
      <c r="N4" s="3"/>
      <c r="O4" s="3"/>
      <c r="P4" s="3"/>
    </row>
    <row r="5" spans="1:16" ht="15.6" x14ac:dyDescent="0.3">
      <c r="A5" s="3"/>
      <c r="B5" s="5" t="s">
        <v>5</v>
      </c>
      <c r="C5" s="38">
        <v>44725</v>
      </c>
      <c r="D5" s="3"/>
      <c r="E5" s="3"/>
      <c r="F5" s="3"/>
      <c r="G5" s="3"/>
      <c r="H5" s="3"/>
      <c r="I5" s="4"/>
      <c r="J5" s="3"/>
      <c r="K5" s="3"/>
      <c r="L5" s="3"/>
      <c r="M5" s="3"/>
      <c r="N5" s="3"/>
      <c r="O5" s="3"/>
      <c r="P5" s="3"/>
    </row>
    <row r="6" spans="1:16" ht="15.6" x14ac:dyDescent="0.3">
      <c r="A6" s="3"/>
      <c r="B6" s="5"/>
      <c r="C6" s="3"/>
      <c r="D6" s="3"/>
      <c r="E6" s="3"/>
      <c r="F6" s="3"/>
      <c r="G6" s="3"/>
      <c r="H6" s="3"/>
      <c r="I6" s="4"/>
      <c r="J6" s="3"/>
      <c r="K6" s="3"/>
      <c r="L6" s="3"/>
      <c r="M6" s="3"/>
      <c r="N6" s="3"/>
      <c r="O6" s="3"/>
      <c r="P6" s="3"/>
    </row>
    <row r="7" spans="1:16" ht="15.6" x14ac:dyDescent="0.3">
      <c r="A7" s="10" t="s">
        <v>6</v>
      </c>
      <c r="B7" s="11"/>
      <c r="C7" s="12" t="s">
        <v>7</v>
      </c>
      <c r="D7" s="3"/>
      <c r="E7" s="12" t="s">
        <v>8</v>
      </c>
      <c r="F7" s="12" t="s">
        <v>34</v>
      </c>
      <c r="G7" s="3"/>
      <c r="H7" s="67" t="s">
        <v>7</v>
      </c>
      <c r="I7" s="67"/>
      <c r="J7" s="12" t="s">
        <v>8</v>
      </c>
      <c r="K7" s="3"/>
      <c r="L7" s="3"/>
      <c r="M7" s="3"/>
      <c r="N7" s="3"/>
      <c r="O7" s="3"/>
      <c r="P7" s="3"/>
    </row>
    <row r="8" spans="1:16" ht="15.6" x14ac:dyDescent="0.3">
      <c r="A8" s="13">
        <v>1</v>
      </c>
      <c r="B8" s="5" t="s">
        <v>9</v>
      </c>
      <c r="C8" s="14" t="s">
        <v>35</v>
      </c>
      <c r="D8" s="15"/>
      <c r="E8" s="35">
        <v>8.75</v>
      </c>
      <c r="F8" s="16">
        <v>66</v>
      </c>
      <c r="G8" s="11">
        <v>9</v>
      </c>
      <c r="H8" s="14" t="s">
        <v>40</v>
      </c>
      <c r="I8" s="8"/>
      <c r="J8" s="39">
        <v>8.75</v>
      </c>
      <c r="K8" s="3"/>
      <c r="L8" s="3"/>
      <c r="M8" s="3"/>
      <c r="N8" s="3"/>
      <c r="O8" s="3"/>
      <c r="P8" s="3"/>
    </row>
    <row r="9" spans="1:16" ht="15.6" x14ac:dyDescent="0.3">
      <c r="A9" s="13">
        <v>2</v>
      </c>
      <c r="B9" s="5" t="s">
        <v>10</v>
      </c>
      <c r="C9" s="14" t="s">
        <v>37</v>
      </c>
      <c r="D9" s="8"/>
      <c r="E9" s="35">
        <v>8.75</v>
      </c>
      <c r="F9" s="16"/>
      <c r="G9" s="11">
        <v>10</v>
      </c>
      <c r="H9" s="14"/>
      <c r="I9" s="8"/>
      <c r="J9" s="39"/>
      <c r="K9" s="3"/>
      <c r="L9" s="3"/>
      <c r="M9" s="3"/>
      <c r="N9" s="3"/>
      <c r="O9" s="3"/>
      <c r="P9" s="3"/>
    </row>
    <row r="10" spans="1:16" ht="15.6" x14ac:dyDescent="0.3">
      <c r="A10" s="13">
        <v>3</v>
      </c>
      <c r="B10" s="5" t="s">
        <v>11</v>
      </c>
      <c r="C10" s="14" t="s">
        <v>36</v>
      </c>
      <c r="D10" s="8"/>
      <c r="E10" s="35">
        <v>8.75</v>
      </c>
      <c r="F10" s="16">
        <v>78</v>
      </c>
      <c r="G10" s="11">
        <v>11</v>
      </c>
      <c r="H10" s="3"/>
      <c r="I10" s="8"/>
      <c r="J10" s="39"/>
      <c r="K10" s="3"/>
      <c r="L10" s="3"/>
      <c r="M10" s="3"/>
      <c r="N10" s="3"/>
      <c r="O10" s="3"/>
      <c r="P10" s="3"/>
    </row>
    <row r="11" spans="1:16" ht="15.6" x14ac:dyDescent="0.3">
      <c r="A11" s="13">
        <v>4</v>
      </c>
      <c r="B11" s="5" t="s">
        <v>12</v>
      </c>
      <c r="C11" s="14" t="s">
        <v>29</v>
      </c>
      <c r="D11" s="8"/>
      <c r="E11" s="35">
        <v>8.75</v>
      </c>
      <c r="F11" s="16"/>
      <c r="G11" s="11">
        <v>12</v>
      </c>
      <c r="H11" s="3"/>
      <c r="I11" s="8"/>
      <c r="J11" s="39"/>
      <c r="K11" s="3"/>
      <c r="L11" s="3"/>
      <c r="M11" s="3"/>
      <c r="N11" s="3"/>
      <c r="O11" s="3"/>
      <c r="P11" s="3"/>
    </row>
    <row r="12" spans="1:16" ht="15.6" x14ac:dyDescent="0.3">
      <c r="A12" s="13">
        <v>5</v>
      </c>
      <c r="B12" s="3"/>
      <c r="C12" s="31" t="s">
        <v>30</v>
      </c>
      <c r="D12" s="8"/>
      <c r="E12" s="35">
        <v>8.75</v>
      </c>
      <c r="F12" s="16"/>
      <c r="G12" s="11">
        <v>13</v>
      </c>
      <c r="H12" s="3"/>
      <c r="I12" s="8"/>
      <c r="J12" s="39"/>
      <c r="K12" s="3"/>
      <c r="L12" s="3"/>
      <c r="M12" s="3"/>
      <c r="N12" s="3"/>
      <c r="O12" s="3"/>
      <c r="P12" s="3"/>
    </row>
    <row r="13" spans="1:16" ht="15.6" x14ac:dyDescent="0.3">
      <c r="A13" s="13">
        <v>6</v>
      </c>
      <c r="B13" s="3"/>
      <c r="C13" s="14" t="s">
        <v>31</v>
      </c>
      <c r="D13" s="8"/>
      <c r="E13" s="35">
        <v>8.75</v>
      </c>
      <c r="F13" s="16">
        <v>74</v>
      </c>
      <c r="G13" s="11">
        <v>14</v>
      </c>
      <c r="H13" s="18"/>
      <c r="I13" s="8"/>
      <c r="J13" s="39"/>
      <c r="K13" s="3"/>
      <c r="L13" s="3"/>
      <c r="M13" s="3"/>
      <c r="N13" s="3"/>
      <c r="O13" s="3"/>
      <c r="P13" s="3"/>
    </row>
    <row r="14" spans="1:16" ht="15.6" x14ac:dyDescent="0.3">
      <c r="A14" s="13">
        <v>7</v>
      </c>
      <c r="B14" s="5" t="s">
        <v>52</v>
      </c>
      <c r="C14" s="14" t="s">
        <v>39</v>
      </c>
      <c r="D14" s="8"/>
      <c r="E14" s="35">
        <v>8.75</v>
      </c>
      <c r="F14" s="16"/>
      <c r="G14" s="11">
        <v>15</v>
      </c>
      <c r="H14" s="3"/>
      <c r="I14" s="8"/>
      <c r="J14" s="39"/>
      <c r="K14" s="3"/>
      <c r="L14" s="3"/>
      <c r="M14" s="3"/>
      <c r="N14" s="3"/>
      <c r="O14" s="3"/>
      <c r="P14" s="3"/>
    </row>
    <row r="15" spans="1:16" ht="15.6" x14ac:dyDescent="0.3">
      <c r="A15" s="13">
        <v>8</v>
      </c>
      <c r="B15" s="3"/>
      <c r="C15" s="14" t="s">
        <v>38</v>
      </c>
      <c r="D15" s="8"/>
      <c r="E15" s="35">
        <v>8.75</v>
      </c>
      <c r="F15" s="16"/>
      <c r="G15" s="11">
        <v>16</v>
      </c>
      <c r="H15" s="3"/>
      <c r="I15" s="8"/>
      <c r="J15" s="39"/>
      <c r="K15" s="3"/>
      <c r="L15" s="3"/>
      <c r="M15" s="3"/>
      <c r="N15" s="3"/>
      <c r="O15" s="3"/>
      <c r="P15" s="3"/>
    </row>
    <row r="16" spans="1:16" ht="15.6" x14ac:dyDescent="0.3">
      <c r="A16" s="3"/>
      <c r="B16" s="3"/>
      <c r="C16" s="3"/>
      <c r="D16" s="3"/>
      <c r="E16" s="3"/>
      <c r="F16" s="3"/>
      <c r="G16" s="13"/>
      <c r="H16" s="7" t="s">
        <v>13</v>
      </c>
      <c r="I16" s="3"/>
      <c r="J16" s="8">
        <f>SUM(E8:E15)+SUM(J8:J15)</f>
        <v>78.75</v>
      </c>
      <c r="K16" s="3"/>
      <c r="L16" s="3"/>
      <c r="M16" s="3"/>
      <c r="N16" s="3"/>
      <c r="O16" s="3"/>
      <c r="P16" s="3"/>
    </row>
    <row r="17" spans="1:16" ht="15.6" x14ac:dyDescent="0.3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  <c r="L17" s="3"/>
      <c r="M17" s="3"/>
      <c r="N17" s="3"/>
      <c r="O17" s="3"/>
      <c r="P17" s="3"/>
    </row>
    <row r="18" spans="1:16" ht="93.6" x14ac:dyDescent="0.3">
      <c r="A18" s="19"/>
      <c r="B18" s="20" t="s">
        <v>14</v>
      </c>
      <c r="C18" s="21" t="s">
        <v>15</v>
      </c>
      <c r="D18" s="22" t="s">
        <v>16</v>
      </c>
      <c r="E18" s="22" t="s">
        <v>17</v>
      </c>
      <c r="F18" s="22" t="s">
        <v>18</v>
      </c>
      <c r="G18" s="22" t="s">
        <v>19</v>
      </c>
      <c r="H18" s="22" t="s">
        <v>18</v>
      </c>
      <c r="I18" s="22" t="s">
        <v>19</v>
      </c>
      <c r="J18" s="22" t="s">
        <v>20</v>
      </c>
      <c r="K18" s="23" t="s">
        <v>21</v>
      </c>
      <c r="L18" s="24"/>
      <c r="M18" s="23" t="s">
        <v>22</v>
      </c>
      <c r="N18" s="23" t="s">
        <v>23</v>
      </c>
      <c r="O18" s="23" t="s">
        <v>24</v>
      </c>
      <c r="P18" s="23" t="s">
        <v>25</v>
      </c>
    </row>
    <row r="19" spans="1:16" ht="15.6" x14ac:dyDescent="0.3">
      <c r="A19" s="19"/>
      <c r="B19" s="19"/>
      <c r="C19" s="24"/>
      <c r="D19" s="24"/>
      <c r="E19" s="24"/>
      <c r="F19" s="24"/>
      <c r="G19" s="24"/>
      <c r="H19" s="24"/>
      <c r="I19" s="24"/>
      <c r="J19" s="24"/>
      <c r="K19" s="25"/>
      <c r="L19" s="24"/>
      <c r="M19" s="3"/>
      <c r="N19" s="3"/>
      <c r="O19" s="3"/>
      <c r="P19" s="3"/>
    </row>
    <row r="20" spans="1:16" ht="15.6" x14ac:dyDescent="0.3">
      <c r="A20" s="3"/>
      <c r="B20" s="8" t="s">
        <v>26</v>
      </c>
      <c r="C20" s="8">
        <v>1</v>
      </c>
      <c r="D20" s="8">
        <v>1</v>
      </c>
      <c r="E20" s="8"/>
      <c r="F20" s="8"/>
      <c r="G20" s="35">
        <v>0</v>
      </c>
      <c r="H20" s="8"/>
      <c r="I20" s="16"/>
      <c r="J20" s="35">
        <f>F20*G20+H20*I20</f>
        <v>0</v>
      </c>
      <c r="K20" s="16" t="e">
        <f>E20/(J20)</f>
        <v>#DIV/0!</v>
      </c>
      <c r="L20" s="3"/>
      <c r="M20" s="26">
        <v>0</v>
      </c>
      <c r="N20" s="27">
        <f>M20/C20</f>
        <v>0</v>
      </c>
      <c r="O20" s="35">
        <f>J20+'6-12-22'!O20</f>
        <v>108</v>
      </c>
      <c r="P20" s="26">
        <f>M20/O20</f>
        <v>0</v>
      </c>
    </row>
    <row r="21" spans="1:16" ht="15.6" x14ac:dyDescent="0.3">
      <c r="A21" s="3"/>
      <c r="B21" s="3"/>
      <c r="C21" s="3"/>
      <c r="D21" s="3"/>
      <c r="E21" s="3"/>
      <c r="F21" s="3"/>
      <c r="G21" s="40"/>
      <c r="H21" s="3"/>
      <c r="I21" s="28"/>
      <c r="J21" s="40"/>
      <c r="K21" s="28"/>
      <c r="L21" s="3"/>
      <c r="M21" s="29"/>
      <c r="N21" s="3"/>
      <c r="O21" s="3"/>
      <c r="P21" s="3"/>
    </row>
    <row r="22" spans="1:16" ht="15.6" x14ac:dyDescent="0.3">
      <c r="A22" s="3"/>
      <c r="B22" s="8" t="s">
        <v>53</v>
      </c>
      <c r="C22" s="8">
        <v>125400</v>
      </c>
      <c r="D22" s="41"/>
      <c r="E22" s="41"/>
      <c r="F22" s="8"/>
      <c r="G22" s="35"/>
      <c r="H22" s="8"/>
      <c r="I22" s="16"/>
      <c r="J22" s="35">
        <f>F22*G22+H22*I22</f>
        <v>0</v>
      </c>
      <c r="K22" s="16" t="e">
        <f>E22/(J22)</f>
        <v>#DIV/0!</v>
      </c>
      <c r="L22" s="3"/>
      <c r="M22" s="26">
        <f>E22+'6-12-22'!M22</f>
        <v>125400</v>
      </c>
      <c r="N22" s="27">
        <f>M22/C22</f>
        <v>1</v>
      </c>
      <c r="O22" s="35">
        <f>J22+'6-12-22'!O22</f>
        <v>679.75</v>
      </c>
      <c r="P22" s="26">
        <f>M22/O22</f>
        <v>184.47958808385437</v>
      </c>
    </row>
    <row r="23" spans="1:16" ht="15.6" x14ac:dyDescent="0.3">
      <c r="A23" s="3"/>
      <c r="B23" s="3"/>
      <c r="C23" s="3"/>
      <c r="D23" s="3"/>
      <c r="E23" s="3"/>
      <c r="F23" s="3"/>
      <c r="G23" s="40"/>
      <c r="H23" s="3"/>
      <c r="I23" s="28"/>
      <c r="J23" s="40"/>
      <c r="K23" s="28"/>
      <c r="L23" s="3"/>
      <c r="M23" s="29"/>
      <c r="N23" s="3"/>
      <c r="O23" s="36"/>
      <c r="P23" s="29"/>
    </row>
    <row r="24" spans="1:16" ht="15.6" x14ac:dyDescent="0.3">
      <c r="A24" s="3"/>
      <c r="B24" s="8" t="s">
        <v>54</v>
      </c>
      <c r="C24" s="8">
        <v>125400</v>
      </c>
      <c r="D24" s="8"/>
      <c r="E24" s="8"/>
      <c r="F24" s="8"/>
      <c r="G24" s="35"/>
      <c r="H24" s="8"/>
      <c r="I24" s="16"/>
      <c r="J24" s="35">
        <f>F24*G24+H24*I24</f>
        <v>0</v>
      </c>
      <c r="K24" s="16" t="e">
        <f>E24/(J24)</f>
        <v>#DIV/0!</v>
      </c>
      <c r="L24" s="3"/>
      <c r="M24" s="26">
        <f>E24+'6-12-22'!M24</f>
        <v>125400</v>
      </c>
      <c r="N24" s="27">
        <f>M24/C24</f>
        <v>1</v>
      </c>
      <c r="O24" s="35">
        <f>J24+'6-12-22'!O24</f>
        <v>449.75</v>
      </c>
      <c r="P24" s="26">
        <f>M24/O24</f>
        <v>278.82156753752082</v>
      </c>
    </row>
    <row r="25" spans="1:16" ht="15.6" x14ac:dyDescent="0.3">
      <c r="A25" s="3"/>
      <c r="B25" s="3"/>
      <c r="C25" s="3"/>
      <c r="D25" s="3"/>
      <c r="E25" s="3"/>
      <c r="F25" s="3"/>
      <c r="G25" s="36"/>
      <c r="H25" s="3"/>
      <c r="I25" s="4"/>
      <c r="J25" s="36"/>
      <c r="K25" s="4"/>
      <c r="L25" s="3"/>
      <c r="M25" s="29"/>
      <c r="N25" s="3"/>
      <c r="O25" s="3"/>
      <c r="P25" s="3"/>
    </row>
    <row r="26" spans="1:16" ht="15.6" x14ac:dyDescent="0.3">
      <c r="A26" s="3"/>
      <c r="B26" s="8" t="s">
        <v>44</v>
      </c>
      <c r="C26" s="8">
        <v>3040</v>
      </c>
      <c r="D26" s="8"/>
      <c r="E26" s="8"/>
      <c r="F26" s="8">
        <v>3</v>
      </c>
      <c r="G26" s="35">
        <v>7</v>
      </c>
      <c r="H26" s="8"/>
      <c r="I26" s="16"/>
      <c r="J26" s="35">
        <f>F26*G26+H26*I26</f>
        <v>21</v>
      </c>
      <c r="K26" s="16">
        <f>E26/(J26)</f>
        <v>0</v>
      </c>
      <c r="L26" s="3"/>
      <c r="M26" s="26">
        <f>E26+'6-12-22'!M26</f>
        <v>1516</v>
      </c>
      <c r="N26" s="27">
        <f>M26/C26</f>
        <v>0.49868421052631579</v>
      </c>
      <c r="O26" s="35">
        <f>J26+'6-12-22'!O26</f>
        <v>101</v>
      </c>
      <c r="P26" s="26">
        <f>M26/O26</f>
        <v>15.009900990099009</v>
      </c>
    </row>
    <row r="27" spans="1:16" ht="15.6" x14ac:dyDescent="0.3">
      <c r="A27" s="3"/>
      <c r="B27" s="3"/>
      <c r="C27" s="3"/>
      <c r="D27" s="3"/>
      <c r="E27" s="3"/>
      <c r="F27" s="3"/>
      <c r="G27" s="36"/>
      <c r="H27" s="3"/>
      <c r="I27" s="4"/>
      <c r="J27" s="36"/>
      <c r="K27" s="4"/>
      <c r="L27" s="3"/>
      <c r="M27" s="29"/>
      <c r="N27" s="3"/>
      <c r="O27" s="3"/>
      <c r="P27" s="3"/>
    </row>
    <row r="28" spans="1:16" ht="15.6" x14ac:dyDescent="0.3">
      <c r="A28" s="3"/>
      <c r="B28" s="8" t="s">
        <v>45</v>
      </c>
      <c r="C28" s="8">
        <v>3040</v>
      </c>
      <c r="D28" s="8"/>
      <c r="E28" s="8"/>
      <c r="F28" s="8"/>
      <c r="G28" s="35"/>
      <c r="H28" s="8"/>
      <c r="I28" s="16"/>
      <c r="J28" s="35">
        <f>F28*G28+H28*I28</f>
        <v>0</v>
      </c>
      <c r="K28" s="16" t="e">
        <f>E28/(J28)</f>
        <v>#DIV/0!</v>
      </c>
      <c r="L28" s="3"/>
      <c r="M28" s="26">
        <f>E28+'6-12-22'!M28</f>
        <v>853</v>
      </c>
      <c r="N28" s="27">
        <f>M28/C28</f>
        <v>0.28059210526315792</v>
      </c>
      <c r="O28" s="35">
        <f>J28+'6-12-22'!O28</f>
        <v>82</v>
      </c>
      <c r="P28" s="26">
        <f>M28/O28</f>
        <v>10.402439024390244</v>
      </c>
    </row>
    <row r="29" spans="1:16" ht="15.6" x14ac:dyDescent="0.3">
      <c r="A29" s="3"/>
      <c r="B29" s="3"/>
      <c r="C29" s="3"/>
      <c r="D29" s="3"/>
      <c r="E29" s="3"/>
      <c r="F29" s="3"/>
      <c r="G29" s="36"/>
      <c r="H29" s="3"/>
      <c r="I29" s="4"/>
      <c r="J29" s="36"/>
      <c r="K29" s="4"/>
      <c r="L29" s="3"/>
      <c r="M29" s="29"/>
      <c r="N29" s="3"/>
      <c r="O29" s="3"/>
      <c r="P29" s="3"/>
    </row>
    <row r="30" spans="1:16" ht="15.6" x14ac:dyDescent="0.3">
      <c r="A30" s="3"/>
      <c r="B30" s="8" t="s">
        <v>47</v>
      </c>
      <c r="C30" s="8">
        <v>125400</v>
      </c>
      <c r="D30" s="8"/>
      <c r="E30" s="8">
        <v>11220</v>
      </c>
      <c r="F30" s="8">
        <v>9</v>
      </c>
      <c r="G30" s="35">
        <v>2.25</v>
      </c>
      <c r="H30" s="8">
        <v>5</v>
      </c>
      <c r="I30" s="35">
        <v>3.75</v>
      </c>
      <c r="J30" s="35">
        <f>F30*G30+H30*I30</f>
        <v>39</v>
      </c>
      <c r="K30" s="16">
        <f>E30/(J30)</f>
        <v>287.69230769230768</v>
      </c>
      <c r="L30" s="3"/>
      <c r="M30" s="26">
        <f>E30+'6-12-22'!M30</f>
        <v>61710</v>
      </c>
      <c r="N30" s="27">
        <f>M30/C30</f>
        <v>0.49210526315789471</v>
      </c>
      <c r="O30" s="35">
        <f>J30+'6-12-22'!O30</f>
        <v>320.25</v>
      </c>
      <c r="P30" s="26">
        <f>M30/O30</f>
        <v>192.69320843091336</v>
      </c>
    </row>
    <row r="31" spans="1:16" ht="15.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7"/>
      <c r="O31" s="3"/>
      <c r="P31" s="3"/>
    </row>
    <row r="32" spans="1:16" ht="15.6" x14ac:dyDescent="0.3">
      <c r="A32" s="3"/>
      <c r="B32" s="8" t="s">
        <v>46</v>
      </c>
      <c r="C32" s="8">
        <v>324</v>
      </c>
      <c r="D32" s="8"/>
      <c r="E32" s="8"/>
      <c r="F32" s="8"/>
      <c r="G32" s="35"/>
      <c r="H32" s="8"/>
      <c r="I32" s="16"/>
      <c r="J32" s="35">
        <f>F32*G32+H32*I32</f>
        <v>0</v>
      </c>
      <c r="K32" s="16" t="e">
        <f>E32/(J32)</f>
        <v>#DIV/0!</v>
      </c>
      <c r="L32" s="3"/>
      <c r="M32" s="26">
        <f>E32+'6-12-22'!M32</f>
        <v>0</v>
      </c>
      <c r="N32" s="27">
        <f>M32/C32</f>
        <v>0</v>
      </c>
      <c r="O32" s="35">
        <f>J32+'6-12-22'!O32</f>
        <v>0</v>
      </c>
      <c r="P32" s="26" t="e">
        <f>M32/O32</f>
        <v>#DIV/0!</v>
      </c>
    </row>
    <row r="33" spans="1:16" ht="15.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7"/>
      <c r="O33" s="3"/>
      <c r="P33" s="3"/>
    </row>
    <row r="34" spans="1:16" ht="15.6" x14ac:dyDescent="0.3">
      <c r="A34" s="3"/>
      <c r="B34" s="8" t="s">
        <v>48</v>
      </c>
      <c r="C34" s="8">
        <v>115000</v>
      </c>
      <c r="D34" s="8"/>
      <c r="E34" s="8"/>
      <c r="F34" s="8"/>
      <c r="G34" s="35"/>
      <c r="H34" s="8"/>
      <c r="I34" s="16"/>
      <c r="J34" s="35">
        <f>F34*G34+H34*I34</f>
        <v>0</v>
      </c>
      <c r="K34" s="16" t="e">
        <f>E34/(J34)</f>
        <v>#DIV/0!</v>
      </c>
      <c r="L34" s="3"/>
      <c r="M34" s="26">
        <f>E34+'6-12-22'!M34</f>
        <v>0</v>
      </c>
      <c r="N34" s="27">
        <f>M34/C34</f>
        <v>0</v>
      </c>
      <c r="O34" s="35">
        <f>J34+'6-12-22'!O34</f>
        <v>0</v>
      </c>
      <c r="P34" s="26" t="e">
        <f>M34/O34</f>
        <v>#DIV/0!</v>
      </c>
    </row>
    <row r="35" spans="1:16" ht="15.6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27"/>
      <c r="O35" s="3"/>
      <c r="P35" s="3"/>
    </row>
    <row r="36" spans="1:16" ht="15.6" x14ac:dyDescent="0.3">
      <c r="A36" s="3"/>
      <c r="B36" s="8" t="s">
        <v>49</v>
      </c>
      <c r="C36" s="8">
        <v>8</v>
      </c>
      <c r="D36" s="8"/>
      <c r="E36" s="8"/>
      <c r="F36" s="8"/>
      <c r="G36" s="35"/>
      <c r="H36" s="8"/>
      <c r="I36" s="16"/>
      <c r="J36" s="35">
        <f>F36*G36+H36*I36</f>
        <v>0</v>
      </c>
      <c r="K36" s="16" t="e">
        <f>E36/(J36)</f>
        <v>#DIV/0!</v>
      </c>
      <c r="L36" s="3"/>
      <c r="M36" s="26">
        <f>E36+'6-12-22'!M36</f>
        <v>0</v>
      </c>
      <c r="N36" s="27">
        <f>M36/C36</f>
        <v>0</v>
      </c>
      <c r="O36" s="35">
        <f>J36+'6-12-22'!O36</f>
        <v>24</v>
      </c>
      <c r="P36" s="26">
        <f>M36/O36</f>
        <v>0</v>
      </c>
    </row>
    <row r="37" spans="1:16" ht="15.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27"/>
      <c r="O37" s="3"/>
      <c r="P37" s="3"/>
    </row>
    <row r="38" spans="1:16" ht="15.6" x14ac:dyDescent="0.3">
      <c r="A38" s="3"/>
      <c r="B38" s="8" t="s">
        <v>50</v>
      </c>
      <c r="C38" s="8">
        <f>2760+480</f>
        <v>3240</v>
      </c>
      <c r="D38" s="8"/>
      <c r="E38" s="8"/>
      <c r="F38" s="8">
        <v>5</v>
      </c>
      <c r="G38" s="35">
        <v>3.75</v>
      </c>
      <c r="H38" s="8"/>
      <c r="I38" s="16"/>
      <c r="J38" s="35">
        <f>F38*G38+H38*I38</f>
        <v>18.75</v>
      </c>
      <c r="K38" s="16">
        <f>E38/(J38)</f>
        <v>0</v>
      </c>
      <c r="L38" s="3"/>
      <c r="M38" s="26">
        <f>E38+'6-12-22'!M38</f>
        <v>555</v>
      </c>
      <c r="N38" s="27">
        <f>M38/C38</f>
        <v>0.17129629629629631</v>
      </c>
      <c r="O38" s="35">
        <f>J38+'6-12-22'!O38</f>
        <v>44.25</v>
      </c>
      <c r="P38" s="26">
        <f>M38/O38</f>
        <v>12.542372881355933</v>
      </c>
    </row>
    <row r="39" spans="1:16" ht="15.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7"/>
      <c r="O39" s="3"/>
      <c r="P39" s="3"/>
    </row>
    <row r="40" spans="1:16" ht="15.6" x14ac:dyDescent="0.3">
      <c r="A40" s="3"/>
      <c r="B40" s="8" t="s">
        <v>115</v>
      </c>
      <c r="C40" s="8">
        <v>25</v>
      </c>
      <c r="D40" s="8"/>
      <c r="E40" s="8"/>
      <c r="F40" s="8"/>
      <c r="G40" s="35"/>
      <c r="H40" s="8"/>
      <c r="I40" s="16"/>
      <c r="J40" s="35">
        <f>F40*G40+H40*I40</f>
        <v>0</v>
      </c>
      <c r="K40" s="16" t="e">
        <f>E40/(J40)</f>
        <v>#DIV/0!</v>
      </c>
      <c r="L40" s="3"/>
      <c r="M40" s="26">
        <f>E40+'6-12-22'!M40</f>
        <v>0</v>
      </c>
      <c r="N40" s="27">
        <f>M40/C40</f>
        <v>0</v>
      </c>
      <c r="O40" s="35">
        <f>J40+'6-12-22'!O40</f>
        <v>0</v>
      </c>
      <c r="P40" s="26" t="e">
        <f>M40/O40</f>
        <v>#DIV/0!</v>
      </c>
    </row>
    <row r="41" spans="1:16" ht="15.6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27"/>
      <c r="O41" s="3"/>
      <c r="P41" s="3"/>
    </row>
    <row r="42" spans="1:16" ht="15.6" x14ac:dyDescent="0.3">
      <c r="A42" s="3"/>
      <c r="B42" s="8" t="s">
        <v>113</v>
      </c>
      <c r="C42" s="8" t="s">
        <v>52</v>
      </c>
      <c r="D42" s="8"/>
      <c r="E42" s="8"/>
      <c r="F42" s="8"/>
      <c r="G42" s="35"/>
      <c r="H42" s="8"/>
      <c r="I42" s="16"/>
      <c r="J42" s="35">
        <f>F42*G42+H42*I42</f>
        <v>0</v>
      </c>
      <c r="K42" s="16" t="e">
        <f>E42/(J42)</f>
        <v>#DIV/0!</v>
      </c>
      <c r="L42" s="3"/>
      <c r="M42" s="26">
        <f>E42+'6-12-22'!M42</f>
        <v>0</v>
      </c>
      <c r="N42" s="53" t="e">
        <f>M42/C42</f>
        <v>#VALUE!</v>
      </c>
      <c r="O42" s="35">
        <f>J42+'6-12-22'!O42</f>
        <v>0</v>
      </c>
      <c r="P42" s="26" t="e">
        <f>M42/O42</f>
        <v>#DIV/0!</v>
      </c>
    </row>
    <row r="43" spans="1:16" ht="15.6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27"/>
      <c r="O43" s="3"/>
      <c r="P43" s="3"/>
    </row>
    <row r="44" spans="1:16" ht="15.6" x14ac:dyDescent="0.3">
      <c r="A44" s="3"/>
      <c r="B44" s="8" t="s">
        <v>114</v>
      </c>
      <c r="C44" s="8" t="s">
        <v>52</v>
      </c>
      <c r="D44" s="8"/>
      <c r="E44" s="8"/>
      <c r="F44" s="8"/>
      <c r="G44" s="35"/>
      <c r="H44" s="8"/>
      <c r="I44" s="16"/>
      <c r="J44" s="35">
        <f>F44*G44+H44*I44</f>
        <v>0</v>
      </c>
      <c r="K44" s="16" t="e">
        <f>E44/(J44)</f>
        <v>#DIV/0!</v>
      </c>
      <c r="L44" s="3"/>
      <c r="M44" s="26" t="e">
        <f>E44+'6-12-22'!M44</f>
        <v>#VALUE!</v>
      </c>
      <c r="N44" s="53" t="e">
        <f>M44/C44</f>
        <v>#VALUE!</v>
      </c>
      <c r="O44" s="35">
        <f>J44+'6-12-22'!O44</f>
        <v>99</v>
      </c>
      <c r="P44" s="26" t="e">
        <f>M44/O44</f>
        <v>#VALUE!</v>
      </c>
    </row>
    <row r="45" spans="1:16" ht="15.6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27"/>
      <c r="O45" s="3"/>
      <c r="P45" s="3"/>
    </row>
    <row r="46" spans="1:16" ht="15.6" x14ac:dyDescent="0.3">
      <c r="A46" s="3"/>
      <c r="B46" s="8" t="s">
        <v>75</v>
      </c>
      <c r="C46" s="8"/>
      <c r="D46" s="8" t="s">
        <v>52</v>
      </c>
      <c r="E46" s="8"/>
      <c r="F46" s="8"/>
      <c r="G46" s="35"/>
      <c r="H46" s="8"/>
      <c r="I46" s="16"/>
      <c r="J46" s="35">
        <f>F46*G46+H46*I46</f>
        <v>0</v>
      </c>
      <c r="K46" s="16" t="e">
        <f>E46/(J46)</f>
        <v>#DIV/0!</v>
      </c>
      <c r="L46" s="3"/>
      <c r="M46" s="26">
        <f>E46+'6-12-22'!M46</f>
        <v>0</v>
      </c>
      <c r="N46" s="53" t="e">
        <f>M46/C46</f>
        <v>#DIV/0!</v>
      </c>
      <c r="O46" s="35">
        <f>J46+'6-12-22'!O46</f>
        <v>225.75</v>
      </c>
      <c r="P46" s="26">
        <f>M46/O46</f>
        <v>0</v>
      </c>
    </row>
    <row r="47" spans="1:16" ht="15.6" x14ac:dyDescent="0.3">
      <c r="A47" s="3"/>
      <c r="B47" s="3" t="s">
        <v>27</v>
      </c>
      <c r="C47" s="3"/>
      <c r="D47" s="3" t="s">
        <v>52</v>
      </c>
      <c r="E47" s="3"/>
      <c r="F47" s="3"/>
      <c r="G47" s="3"/>
      <c r="H47" s="30"/>
      <c r="I47" s="4"/>
      <c r="J47" s="3">
        <f>J20+J22+J24+J26+J28+J30+J32+J34+J36+J38+J40+J42+J44+J46</f>
        <v>78.75</v>
      </c>
      <c r="K47" s="3"/>
      <c r="L47" s="3"/>
      <c r="M47" s="3"/>
      <c r="N47" s="3"/>
      <c r="O47" s="3">
        <f>O20+O22+O24+O26+O28+O30+O32+O34+O36+O38+O40+O42+O44+O46</f>
        <v>2133.75</v>
      </c>
      <c r="P47" s="3"/>
    </row>
    <row r="48" spans="1:16" ht="15.6" x14ac:dyDescent="0.3">
      <c r="A48" s="3"/>
      <c r="B48" s="3"/>
      <c r="C48" s="3"/>
      <c r="D48" s="3"/>
      <c r="E48" s="3"/>
      <c r="F48" s="3"/>
      <c r="G48" s="3"/>
      <c r="H48" s="3"/>
      <c r="I48" s="4"/>
      <c r="J48" s="3"/>
      <c r="K48" s="3"/>
      <c r="L48" s="3"/>
      <c r="M48" s="3"/>
      <c r="N48" s="3"/>
      <c r="O48" s="3"/>
      <c r="P48" s="3"/>
    </row>
    <row r="49" spans="1:16" ht="15.6" x14ac:dyDescent="0.3">
      <c r="A49" s="3"/>
      <c r="B49" s="3" t="s">
        <v>28</v>
      </c>
      <c r="C49" s="3" t="s">
        <v>159</v>
      </c>
      <c r="D49" s="3"/>
      <c r="E49" s="3"/>
      <c r="F49" s="3"/>
      <c r="G49" s="3"/>
      <c r="H49" s="3"/>
      <c r="I49" s="4"/>
      <c r="J49" s="3"/>
      <c r="K49" s="3"/>
      <c r="L49" s="3"/>
      <c r="M49" s="3"/>
      <c r="N49" s="3"/>
      <c r="O49" s="3"/>
      <c r="P49" s="3"/>
    </row>
    <row r="50" spans="1:16" ht="15.6" x14ac:dyDescent="0.3">
      <c r="C50" s="33"/>
    </row>
    <row r="51" spans="1:16" ht="15.6" x14ac:dyDescent="0.3">
      <c r="B51" s="3" t="s">
        <v>32</v>
      </c>
      <c r="C51" s="33" t="s">
        <v>160</v>
      </c>
    </row>
    <row r="52" spans="1:16" ht="15.6" x14ac:dyDescent="0.3">
      <c r="C52" s="33"/>
    </row>
    <row r="53" spans="1:16" ht="15.6" x14ac:dyDescent="0.3">
      <c r="B53" s="3" t="s">
        <v>33</v>
      </c>
      <c r="C53" s="3" t="s">
        <v>161</v>
      </c>
    </row>
    <row r="54" spans="1:16" ht="15.6" x14ac:dyDescent="0.3">
      <c r="C54" s="33" t="s">
        <v>162</v>
      </c>
    </row>
    <row r="55" spans="1:16" ht="15.6" x14ac:dyDescent="0.3">
      <c r="C55" s="33" t="s">
        <v>52</v>
      </c>
    </row>
    <row r="57" spans="1:16" x14ac:dyDescent="0.3">
      <c r="C57" t="s">
        <v>52</v>
      </c>
      <c r="D57" t="s">
        <v>52</v>
      </c>
    </row>
    <row r="58" spans="1:16" x14ac:dyDescent="0.3">
      <c r="C58" t="s">
        <v>52</v>
      </c>
      <c r="D58" t="s">
        <v>52</v>
      </c>
    </row>
  </sheetData>
  <mergeCells count="2">
    <mergeCell ref="A1:G1"/>
    <mergeCell ref="H7:I7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D9B7B-487E-4CA2-8831-93C8D904CE66}">
  <dimension ref="A1:P58"/>
  <sheetViews>
    <sheetView zoomScale="85" zoomScaleNormal="85" workbookViewId="0">
      <selection activeCell="C6" sqref="C6"/>
    </sheetView>
  </sheetViews>
  <sheetFormatPr defaultRowHeight="14.4" x14ac:dyDescent="0.3"/>
  <cols>
    <col min="1" max="1" width="11.33203125" customWidth="1"/>
    <col min="2" max="2" width="29.33203125" customWidth="1"/>
    <col min="3" max="3" width="22.109375" customWidth="1"/>
    <col min="4" max="4" width="14.88671875" customWidth="1"/>
    <col min="5" max="5" width="16.6640625" customWidth="1"/>
    <col min="6" max="6" width="17.44140625" customWidth="1"/>
    <col min="8" max="8" width="20.44140625" customWidth="1"/>
    <col min="13" max="13" width="10.6640625" customWidth="1"/>
    <col min="14" max="14" width="10" bestFit="1" customWidth="1"/>
    <col min="15" max="15" width="10.6640625" customWidth="1"/>
  </cols>
  <sheetData>
    <row r="1" spans="1:16" ht="18" x14ac:dyDescent="0.35">
      <c r="A1" s="66" t="s">
        <v>0</v>
      </c>
      <c r="B1" s="66"/>
      <c r="C1" s="66"/>
      <c r="D1" s="66"/>
      <c r="E1" s="66"/>
      <c r="F1" s="66"/>
      <c r="G1" s="66"/>
      <c r="H1" s="1"/>
      <c r="I1" s="2"/>
      <c r="J1" s="1"/>
      <c r="K1" s="1"/>
      <c r="L1" s="1"/>
      <c r="M1" s="1"/>
      <c r="N1" s="1"/>
      <c r="O1" s="1"/>
      <c r="P1" s="1"/>
    </row>
    <row r="2" spans="1:16" ht="15.6" x14ac:dyDescent="0.3">
      <c r="A2" s="3"/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</row>
    <row r="3" spans="1:16" ht="15.6" x14ac:dyDescent="0.3">
      <c r="A3" s="3"/>
      <c r="B3" s="5" t="s">
        <v>1</v>
      </c>
      <c r="C3" s="6" t="s">
        <v>43</v>
      </c>
      <c r="D3" s="7"/>
      <c r="E3" s="3"/>
      <c r="F3" s="5" t="s">
        <v>2</v>
      </c>
      <c r="G3" s="8">
        <v>4355</v>
      </c>
      <c r="H3" s="5" t="s">
        <v>41</v>
      </c>
      <c r="I3" s="36">
        <v>49</v>
      </c>
      <c r="J3" s="3"/>
      <c r="K3" s="3"/>
      <c r="L3" s="3"/>
      <c r="M3" s="3"/>
      <c r="N3" s="3"/>
      <c r="O3" s="3"/>
      <c r="P3" s="3"/>
    </row>
    <row r="4" spans="1:16" ht="15.6" x14ac:dyDescent="0.3">
      <c r="A4" s="3"/>
      <c r="B4" s="5" t="s">
        <v>3</v>
      </c>
      <c r="C4" s="37">
        <v>300155</v>
      </c>
      <c r="D4" s="7"/>
      <c r="E4" s="3"/>
      <c r="F4" s="5" t="s">
        <v>4</v>
      </c>
      <c r="G4" s="8">
        <f>J16+'6-11-22'!G4</f>
        <v>2055</v>
      </c>
      <c r="H4" s="34" t="s">
        <v>42</v>
      </c>
      <c r="I4" s="4">
        <v>28</v>
      </c>
      <c r="J4" s="3"/>
      <c r="K4" s="3"/>
      <c r="L4" s="3"/>
      <c r="M4" s="3"/>
      <c r="N4" s="3"/>
      <c r="O4" s="3"/>
      <c r="P4" s="3"/>
    </row>
    <row r="5" spans="1:16" ht="15.6" x14ac:dyDescent="0.3">
      <c r="A5" s="3"/>
      <c r="B5" s="5" t="s">
        <v>5</v>
      </c>
      <c r="C5" s="38">
        <v>44724</v>
      </c>
      <c r="D5" s="3"/>
      <c r="E5" s="3"/>
      <c r="F5" s="3"/>
      <c r="G5" s="3"/>
      <c r="H5" s="3"/>
      <c r="I5" s="4"/>
      <c r="J5" s="3"/>
      <c r="K5" s="3"/>
      <c r="L5" s="3"/>
      <c r="M5" s="3"/>
      <c r="N5" s="3"/>
      <c r="O5" s="3"/>
      <c r="P5" s="3"/>
    </row>
    <row r="6" spans="1:16" ht="15.6" x14ac:dyDescent="0.3">
      <c r="A6" s="3"/>
      <c r="B6" s="5"/>
      <c r="C6" s="3"/>
      <c r="D6" s="3"/>
      <c r="E6" s="3"/>
      <c r="F6" s="3"/>
      <c r="G6" s="3"/>
      <c r="H6" s="3"/>
      <c r="I6" s="4"/>
      <c r="J6" s="3"/>
      <c r="K6" s="3"/>
      <c r="L6" s="3"/>
      <c r="M6" s="3"/>
      <c r="N6" s="3"/>
      <c r="O6" s="3"/>
      <c r="P6" s="3"/>
    </row>
    <row r="7" spans="1:16" ht="15.6" x14ac:dyDescent="0.3">
      <c r="A7" s="10" t="s">
        <v>6</v>
      </c>
      <c r="B7" s="11"/>
      <c r="C7" s="12" t="s">
        <v>7</v>
      </c>
      <c r="D7" s="3"/>
      <c r="E7" s="12" t="s">
        <v>8</v>
      </c>
      <c r="F7" s="12" t="s">
        <v>34</v>
      </c>
      <c r="G7" s="3"/>
      <c r="H7" s="67" t="s">
        <v>7</v>
      </c>
      <c r="I7" s="67"/>
      <c r="J7" s="12" t="s">
        <v>8</v>
      </c>
      <c r="K7" s="3"/>
      <c r="L7" s="3"/>
      <c r="M7" s="3"/>
      <c r="N7" s="3"/>
      <c r="O7" s="3"/>
      <c r="P7" s="3"/>
    </row>
    <row r="8" spans="1:16" ht="15.6" x14ac:dyDescent="0.3">
      <c r="A8" s="13">
        <v>1</v>
      </c>
      <c r="B8" s="5" t="s">
        <v>9</v>
      </c>
      <c r="C8" s="14" t="s">
        <v>35</v>
      </c>
      <c r="D8" s="15"/>
      <c r="E8" s="35"/>
      <c r="F8" s="16">
        <v>66</v>
      </c>
      <c r="G8" s="11">
        <v>9</v>
      </c>
      <c r="H8" s="14" t="s">
        <v>40</v>
      </c>
      <c r="I8" s="8"/>
      <c r="J8" s="39"/>
      <c r="K8" s="3"/>
      <c r="L8" s="3"/>
      <c r="M8" s="3"/>
      <c r="N8" s="3"/>
      <c r="O8" s="3"/>
      <c r="P8" s="3"/>
    </row>
    <row r="9" spans="1:16" ht="15.6" x14ac:dyDescent="0.3">
      <c r="A9" s="13">
        <v>2</v>
      </c>
      <c r="B9" s="5" t="s">
        <v>10</v>
      </c>
      <c r="C9" s="14" t="s">
        <v>37</v>
      </c>
      <c r="D9" s="8"/>
      <c r="E9" s="35"/>
      <c r="F9" s="16"/>
      <c r="G9" s="11">
        <v>10</v>
      </c>
      <c r="H9" s="14"/>
      <c r="I9" s="8"/>
      <c r="J9" s="39"/>
      <c r="K9" s="3"/>
      <c r="L9" s="3"/>
      <c r="M9" s="3"/>
      <c r="N9" s="3"/>
      <c r="O9" s="3"/>
      <c r="P9" s="3"/>
    </row>
    <row r="10" spans="1:16" ht="15.6" x14ac:dyDescent="0.3">
      <c r="A10" s="13">
        <v>3</v>
      </c>
      <c r="B10" s="5" t="s">
        <v>11</v>
      </c>
      <c r="C10" s="14" t="s">
        <v>36</v>
      </c>
      <c r="D10" s="8"/>
      <c r="E10" s="35"/>
      <c r="F10" s="16">
        <v>78</v>
      </c>
      <c r="G10" s="11">
        <v>11</v>
      </c>
      <c r="H10" s="3"/>
      <c r="I10" s="8"/>
      <c r="J10" s="39"/>
      <c r="K10" s="3"/>
      <c r="L10" s="3"/>
      <c r="M10" s="3"/>
      <c r="N10" s="3"/>
      <c r="O10" s="3"/>
      <c r="P10" s="3"/>
    </row>
    <row r="11" spans="1:16" ht="15.6" x14ac:dyDescent="0.3">
      <c r="A11" s="13">
        <v>4</v>
      </c>
      <c r="B11" s="5" t="s">
        <v>12</v>
      </c>
      <c r="C11" s="14" t="s">
        <v>29</v>
      </c>
      <c r="D11" s="8"/>
      <c r="E11" s="35"/>
      <c r="F11" s="16"/>
      <c r="G11" s="11">
        <v>12</v>
      </c>
      <c r="H11" s="3"/>
      <c r="I11" s="8"/>
      <c r="J11" s="39"/>
      <c r="K11" s="3"/>
      <c r="L11" s="3"/>
      <c r="M11" s="3"/>
      <c r="N11" s="3"/>
      <c r="O11" s="3"/>
      <c r="P11" s="3"/>
    </row>
    <row r="12" spans="1:16" ht="15.6" x14ac:dyDescent="0.3">
      <c r="A12" s="13">
        <v>5</v>
      </c>
      <c r="B12" s="3"/>
      <c r="C12" s="31" t="s">
        <v>30</v>
      </c>
      <c r="D12" s="8"/>
      <c r="E12" s="35"/>
      <c r="F12" s="16"/>
      <c r="G12" s="11">
        <v>13</v>
      </c>
      <c r="H12" s="3"/>
      <c r="I12" s="8"/>
      <c r="J12" s="39"/>
      <c r="K12" s="3"/>
      <c r="L12" s="3"/>
      <c r="M12" s="3"/>
      <c r="N12" s="3"/>
      <c r="O12" s="3"/>
      <c r="P12" s="3"/>
    </row>
    <row r="13" spans="1:16" ht="15.6" x14ac:dyDescent="0.3">
      <c r="A13" s="13">
        <v>6</v>
      </c>
      <c r="B13" s="3"/>
      <c r="C13" s="14" t="s">
        <v>31</v>
      </c>
      <c r="D13" s="8"/>
      <c r="E13" s="35"/>
      <c r="F13" s="16">
        <v>74</v>
      </c>
      <c r="G13" s="11">
        <v>14</v>
      </c>
      <c r="H13" s="18"/>
      <c r="I13" s="8"/>
      <c r="J13" s="39"/>
      <c r="K13" s="3"/>
      <c r="L13" s="3"/>
      <c r="M13" s="3"/>
      <c r="N13" s="3"/>
      <c r="O13" s="3"/>
      <c r="P13" s="3"/>
    </row>
    <row r="14" spans="1:16" ht="15.6" x14ac:dyDescent="0.3">
      <c r="A14" s="13">
        <v>7</v>
      </c>
      <c r="B14" s="5" t="s">
        <v>52</v>
      </c>
      <c r="C14" s="14" t="s">
        <v>39</v>
      </c>
      <c r="D14" s="8"/>
      <c r="E14" s="35"/>
      <c r="F14" s="16"/>
      <c r="G14" s="11">
        <v>15</v>
      </c>
      <c r="H14" s="3"/>
      <c r="I14" s="8"/>
      <c r="J14" s="39"/>
      <c r="K14" s="3"/>
      <c r="L14" s="3"/>
      <c r="M14" s="3"/>
      <c r="N14" s="3"/>
      <c r="O14" s="3"/>
      <c r="P14" s="3"/>
    </row>
    <row r="15" spans="1:16" ht="15.6" x14ac:dyDescent="0.3">
      <c r="A15" s="13">
        <v>8</v>
      </c>
      <c r="B15" s="3"/>
      <c r="C15" s="14" t="s">
        <v>38</v>
      </c>
      <c r="D15" s="8"/>
      <c r="E15" s="35"/>
      <c r="F15" s="16"/>
      <c r="G15" s="11">
        <v>16</v>
      </c>
      <c r="H15" s="3"/>
      <c r="I15" s="8"/>
      <c r="J15" s="39"/>
      <c r="K15" s="3"/>
      <c r="L15" s="3"/>
      <c r="M15" s="3"/>
      <c r="N15" s="3"/>
      <c r="O15" s="3"/>
      <c r="P15" s="3"/>
    </row>
    <row r="16" spans="1:16" ht="15.6" x14ac:dyDescent="0.3">
      <c r="A16" s="3"/>
      <c r="B16" s="3"/>
      <c r="C16" s="3"/>
      <c r="D16" s="3"/>
      <c r="E16" s="3"/>
      <c r="F16" s="3"/>
      <c r="G16" s="13"/>
      <c r="H16" s="7" t="s">
        <v>13</v>
      </c>
      <c r="I16" s="3"/>
      <c r="J16" s="8">
        <f>SUM(E8:E15)+SUM(J8:J15)</f>
        <v>0</v>
      </c>
      <c r="K16" s="3"/>
      <c r="L16" s="3"/>
      <c r="M16" s="3"/>
      <c r="N16" s="3"/>
      <c r="O16" s="3"/>
      <c r="P16" s="3"/>
    </row>
    <row r="17" spans="1:16" ht="15.6" x14ac:dyDescent="0.3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  <c r="L17" s="3"/>
      <c r="M17" s="3"/>
      <c r="N17" s="3"/>
      <c r="O17" s="3"/>
      <c r="P17" s="3"/>
    </row>
    <row r="18" spans="1:16" ht="93.6" x14ac:dyDescent="0.3">
      <c r="A18" s="19"/>
      <c r="B18" s="20" t="s">
        <v>14</v>
      </c>
      <c r="C18" s="21" t="s">
        <v>15</v>
      </c>
      <c r="D18" s="22" t="s">
        <v>16</v>
      </c>
      <c r="E18" s="22" t="s">
        <v>17</v>
      </c>
      <c r="F18" s="22" t="s">
        <v>18</v>
      </c>
      <c r="G18" s="22" t="s">
        <v>19</v>
      </c>
      <c r="H18" s="22" t="s">
        <v>18</v>
      </c>
      <c r="I18" s="22" t="s">
        <v>19</v>
      </c>
      <c r="J18" s="22" t="s">
        <v>20</v>
      </c>
      <c r="K18" s="23" t="s">
        <v>21</v>
      </c>
      <c r="L18" s="24"/>
      <c r="M18" s="23" t="s">
        <v>22</v>
      </c>
      <c r="N18" s="23" t="s">
        <v>23</v>
      </c>
      <c r="O18" s="23" t="s">
        <v>24</v>
      </c>
      <c r="P18" s="23" t="s">
        <v>25</v>
      </c>
    </row>
    <row r="19" spans="1:16" ht="15.6" x14ac:dyDescent="0.3">
      <c r="A19" s="19"/>
      <c r="B19" s="19"/>
      <c r="C19" s="24"/>
      <c r="D19" s="24"/>
      <c r="E19" s="24"/>
      <c r="F19" s="24"/>
      <c r="G19" s="24"/>
      <c r="H19" s="24"/>
      <c r="I19" s="24"/>
      <c r="J19" s="24"/>
      <c r="K19" s="25"/>
      <c r="L19" s="24"/>
      <c r="M19" s="3"/>
      <c r="N19" s="3"/>
      <c r="O19" s="3"/>
      <c r="P19" s="3"/>
    </row>
    <row r="20" spans="1:16" ht="15.6" x14ac:dyDescent="0.3">
      <c r="A20" s="3"/>
      <c r="B20" s="8" t="s">
        <v>26</v>
      </c>
      <c r="C20" s="8">
        <v>1</v>
      </c>
      <c r="D20" s="8">
        <v>1</v>
      </c>
      <c r="E20" s="8"/>
      <c r="F20" s="8"/>
      <c r="G20" s="35">
        <v>0</v>
      </c>
      <c r="H20" s="8"/>
      <c r="I20" s="16"/>
      <c r="J20" s="35">
        <f>F20*G20+H20*I20</f>
        <v>0</v>
      </c>
      <c r="K20" s="16" t="e">
        <f>E20/(J20)</f>
        <v>#DIV/0!</v>
      </c>
      <c r="L20" s="3"/>
      <c r="M20" s="26">
        <v>0</v>
      </c>
      <c r="N20" s="27">
        <f>M20/C20</f>
        <v>0</v>
      </c>
      <c r="O20" s="35">
        <f>J20+'6-11-22'!O20</f>
        <v>108</v>
      </c>
      <c r="P20" s="26">
        <f>M20/O20</f>
        <v>0</v>
      </c>
    </row>
    <row r="21" spans="1:16" ht="15.6" x14ac:dyDescent="0.3">
      <c r="A21" s="3"/>
      <c r="B21" s="3"/>
      <c r="C21" s="3"/>
      <c r="D21" s="3"/>
      <c r="E21" s="3"/>
      <c r="F21" s="3"/>
      <c r="G21" s="40"/>
      <c r="H21" s="3"/>
      <c r="I21" s="28"/>
      <c r="J21" s="40"/>
      <c r="K21" s="28"/>
      <c r="L21" s="3"/>
      <c r="M21" s="29"/>
      <c r="N21" s="3"/>
      <c r="O21" s="3"/>
      <c r="P21" s="3"/>
    </row>
    <row r="22" spans="1:16" ht="15.6" x14ac:dyDescent="0.3">
      <c r="A22" s="3"/>
      <c r="B22" s="8" t="s">
        <v>53</v>
      </c>
      <c r="C22" s="8">
        <v>125400</v>
      </c>
      <c r="D22" s="41"/>
      <c r="E22" s="41"/>
      <c r="F22" s="8"/>
      <c r="G22" s="35"/>
      <c r="H22" s="8"/>
      <c r="I22" s="16"/>
      <c r="J22" s="35">
        <f>F22*G22+H22*I22</f>
        <v>0</v>
      </c>
      <c r="K22" s="16" t="e">
        <f>E22/(J22)</f>
        <v>#DIV/0!</v>
      </c>
      <c r="L22" s="3"/>
      <c r="M22" s="26">
        <f>E22+'6-11-22'!M22</f>
        <v>125400</v>
      </c>
      <c r="N22" s="27">
        <f>M22/C22</f>
        <v>1</v>
      </c>
      <c r="O22" s="35">
        <f>J22+'6-11-22'!O22</f>
        <v>679.75</v>
      </c>
      <c r="P22" s="26">
        <f>M22/O22</f>
        <v>184.47958808385437</v>
      </c>
    </row>
    <row r="23" spans="1:16" ht="15.6" x14ac:dyDescent="0.3">
      <c r="A23" s="3"/>
      <c r="B23" s="3"/>
      <c r="C23" s="3"/>
      <c r="D23" s="3"/>
      <c r="E23" s="3"/>
      <c r="F23" s="3"/>
      <c r="G23" s="40"/>
      <c r="H23" s="3"/>
      <c r="I23" s="28"/>
      <c r="J23" s="40"/>
      <c r="K23" s="28"/>
      <c r="L23" s="3"/>
      <c r="M23" s="29"/>
      <c r="N23" s="3"/>
      <c r="O23" s="36"/>
      <c r="P23" s="29"/>
    </row>
    <row r="24" spans="1:16" ht="15.6" x14ac:dyDescent="0.3">
      <c r="A24" s="3"/>
      <c r="B24" s="8" t="s">
        <v>54</v>
      </c>
      <c r="C24" s="8">
        <v>125400</v>
      </c>
      <c r="D24" s="8"/>
      <c r="E24" s="8"/>
      <c r="F24" s="8"/>
      <c r="G24" s="35"/>
      <c r="H24" s="8"/>
      <c r="I24" s="16"/>
      <c r="J24" s="35">
        <f>F24*G24+H24*I24</f>
        <v>0</v>
      </c>
      <c r="K24" s="16" t="e">
        <f>E24/(J24)</f>
        <v>#DIV/0!</v>
      </c>
      <c r="L24" s="3"/>
      <c r="M24" s="26">
        <f>E24+'6-11-22'!M24</f>
        <v>125400</v>
      </c>
      <c r="N24" s="27">
        <f>M24/C24</f>
        <v>1</v>
      </c>
      <c r="O24" s="35">
        <f>J24+'6-11-22'!O24</f>
        <v>449.75</v>
      </c>
      <c r="P24" s="26">
        <f>M24/O24</f>
        <v>278.82156753752082</v>
      </c>
    </row>
    <row r="25" spans="1:16" ht="15.6" x14ac:dyDescent="0.3">
      <c r="A25" s="3"/>
      <c r="B25" s="3"/>
      <c r="C25" s="3"/>
      <c r="D25" s="3"/>
      <c r="E25" s="3"/>
      <c r="F25" s="3"/>
      <c r="G25" s="36"/>
      <c r="H25" s="3"/>
      <c r="I25" s="4"/>
      <c r="J25" s="36"/>
      <c r="K25" s="4"/>
      <c r="L25" s="3"/>
      <c r="M25" s="29"/>
      <c r="N25" s="3"/>
      <c r="O25" s="3"/>
      <c r="P25" s="3"/>
    </row>
    <row r="26" spans="1:16" ht="15.6" x14ac:dyDescent="0.3">
      <c r="A26" s="3"/>
      <c r="B26" s="8" t="s">
        <v>44</v>
      </c>
      <c r="C26" s="8">
        <v>3040</v>
      </c>
      <c r="D26" s="8"/>
      <c r="E26" s="8"/>
      <c r="F26" s="8"/>
      <c r="G26" s="35"/>
      <c r="H26" s="8"/>
      <c r="I26" s="16"/>
      <c r="J26" s="35">
        <f>F26*G26+H26*I26</f>
        <v>0</v>
      </c>
      <c r="K26" s="16" t="e">
        <f>E26/(J26)</f>
        <v>#DIV/0!</v>
      </c>
      <c r="L26" s="3"/>
      <c r="M26" s="26">
        <f>E26+'6-11-22'!M26</f>
        <v>1516</v>
      </c>
      <c r="N26" s="27">
        <f>M26/C26</f>
        <v>0.49868421052631579</v>
      </c>
      <c r="O26" s="35">
        <f>J26+'6-11-22'!O26</f>
        <v>80</v>
      </c>
      <c r="P26" s="26">
        <f>M26/O26</f>
        <v>18.95</v>
      </c>
    </row>
    <row r="27" spans="1:16" ht="15.6" x14ac:dyDescent="0.3">
      <c r="A27" s="3"/>
      <c r="B27" s="3"/>
      <c r="C27" s="3"/>
      <c r="D27" s="3"/>
      <c r="E27" s="3"/>
      <c r="F27" s="3"/>
      <c r="G27" s="36"/>
      <c r="H27" s="3"/>
      <c r="I27" s="4"/>
      <c r="J27" s="36"/>
      <c r="K27" s="4"/>
      <c r="L27" s="3"/>
      <c r="M27" s="29"/>
      <c r="N27" s="3"/>
      <c r="O27" s="3"/>
      <c r="P27" s="3"/>
    </row>
    <row r="28" spans="1:16" ht="15.6" x14ac:dyDescent="0.3">
      <c r="A28" s="3"/>
      <c r="B28" s="8" t="s">
        <v>45</v>
      </c>
      <c r="C28" s="8">
        <v>3040</v>
      </c>
      <c r="D28" s="8"/>
      <c r="E28" s="8"/>
      <c r="F28" s="8"/>
      <c r="G28" s="35"/>
      <c r="H28" s="8"/>
      <c r="I28" s="16"/>
      <c r="J28" s="35">
        <f>F28*G28+H28*I28</f>
        <v>0</v>
      </c>
      <c r="K28" s="16" t="e">
        <f>E28/(J28)</f>
        <v>#DIV/0!</v>
      </c>
      <c r="L28" s="3"/>
      <c r="M28" s="26">
        <f>E28+'6-11-22'!M28</f>
        <v>853</v>
      </c>
      <c r="N28" s="27">
        <f>M28/C28</f>
        <v>0.28059210526315792</v>
      </c>
      <c r="O28" s="35">
        <f>J28+'6-11-22'!O28</f>
        <v>82</v>
      </c>
      <c r="P28" s="26">
        <f>M28/O28</f>
        <v>10.402439024390244</v>
      </c>
    </row>
    <row r="29" spans="1:16" ht="15.6" x14ac:dyDescent="0.3">
      <c r="A29" s="3"/>
      <c r="B29" s="3"/>
      <c r="C29" s="3"/>
      <c r="D29" s="3"/>
      <c r="E29" s="3"/>
      <c r="F29" s="3"/>
      <c r="G29" s="36"/>
      <c r="H29" s="3"/>
      <c r="I29" s="4"/>
      <c r="J29" s="36"/>
      <c r="K29" s="4"/>
      <c r="L29" s="3"/>
      <c r="M29" s="29"/>
      <c r="N29" s="3"/>
      <c r="O29" s="3"/>
      <c r="P29" s="3"/>
    </row>
    <row r="30" spans="1:16" ht="15.6" x14ac:dyDescent="0.3">
      <c r="A30" s="3"/>
      <c r="B30" s="8" t="s">
        <v>47</v>
      </c>
      <c r="C30" s="8">
        <v>125400</v>
      </c>
      <c r="D30" s="8"/>
      <c r="E30" s="8"/>
      <c r="F30" s="8"/>
      <c r="G30" s="35"/>
      <c r="H30" s="8"/>
      <c r="I30" s="35"/>
      <c r="J30" s="35">
        <f>F30*G30+H30*I30</f>
        <v>0</v>
      </c>
      <c r="K30" s="16" t="e">
        <f>E30/(J30)</f>
        <v>#DIV/0!</v>
      </c>
      <c r="L30" s="3"/>
      <c r="M30" s="26">
        <f>E30+'6-11-22'!M30</f>
        <v>50490</v>
      </c>
      <c r="N30" s="27">
        <f>M30/C30</f>
        <v>0.4026315789473684</v>
      </c>
      <c r="O30" s="35">
        <f>J30+'6-11-22'!O30</f>
        <v>281.25</v>
      </c>
      <c r="P30" s="26">
        <f>M30/O30</f>
        <v>179.52</v>
      </c>
    </row>
    <row r="31" spans="1:16" ht="15.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7"/>
      <c r="O31" s="3"/>
      <c r="P31" s="3"/>
    </row>
    <row r="32" spans="1:16" ht="15.6" x14ac:dyDescent="0.3">
      <c r="A32" s="3"/>
      <c r="B32" s="8" t="s">
        <v>46</v>
      </c>
      <c r="C32" s="8">
        <v>324</v>
      </c>
      <c r="D32" s="8"/>
      <c r="E32" s="8"/>
      <c r="F32" s="8"/>
      <c r="G32" s="35"/>
      <c r="H32" s="8"/>
      <c r="I32" s="16"/>
      <c r="J32" s="35">
        <f>F32*G32+H32*I32</f>
        <v>0</v>
      </c>
      <c r="K32" s="16" t="e">
        <f>E32/(J32)</f>
        <v>#DIV/0!</v>
      </c>
      <c r="L32" s="3"/>
      <c r="M32" s="26">
        <f>E32+'6-11-22'!M32</f>
        <v>0</v>
      </c>
      <c r="N32" s="27">
        <f>M32/C32</f>
        <v>0</v>
      </c>
      <c r="O32" s="35">
        <f>J32+'6-11-22'!O32</f>
        <v>0</v>
      </c>
      <c r="P32" s="26" t="e">
        <f>M32/O32</f>
        <v>#DIV/0!</v>
      </c>
    </row>
    <row r="33" spans="1:16" ht="15.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7"/>
      <c r="O33" s="3"/>
      <c r="P33" s="3"/>
    </row>
    <row r="34" spans="1:16" ht="15.6" x14ac:dyDescent="0.3">
      <c r="A34" s="3"/>
      <c r="B34" s="8" t="s">
        <v>48</v>
      </c>
      <c r="C34" s="8">
        <v>115000</v>
      </c>
      <c r="D34" s="8"/>
      <c r="E34" s="8"/>
      <c r="F34" s="8"/>
      <c r="G34" s="35"/>
      <c r="H34" s="8"/>
      <c r="I34" s="16"/>
      <c r="J34" s="35">
        <f>F34*G34+H34*I34</f>
        <v>0</v>
      </c>
      <c r="K34" s="16" t="e">
        <f>E34/(J34)</f>
        <v>#DIV/0!</v>
      </c>
      <c r="L34" s="3"/>
      <c r="M34" s="26">
        <f>E34+'6-11-22'!M34</f>
        <v>0</v>
      </c>
      <c r="N34" s="27">
        <f>M34/C34</f>
        <v>0</v>
      </c>
      <c r="O34" s="35">
        <f>J34+'6-11-22'!O34</f>
        <v>0</v>
      </c>
      <c r="P34" s="26" t="e">
        <f>M34/O34</f>
        <v>#DIV/0!</v>
      </c>
    </row>
    <row r="35" spans="1:16" ht="15.6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27"/>
      <c r="O35" s="3"/>
      <c r="P35" s="3"/>
    </row>
    <row r="36" spans="1:16" ht="15.6" x14ac:dyDescent="0.3">
      <c r="A36" s="3"/>
      <c r="B36" s="8" t="s">
        <v>49</v>
      </c>
      <c r="C36" s="8">
        <v>8</v>
      </c>
      <c r="D36" s="8"/>
      <c r="E36" s="8"/>
      <c r="F36" s="8"/>
      <c r="G36" s="35"/>
      <c r="H36" s="8"/>
      <c r="I36" s="16"/>
      <c r="J36" s="35">
        <f>F36*G36+H36*I36</f>
        <v>0</v>
      </c>
      <c r="K36" s="16" t="e">
        <f>E36/(J36)</f>
        <v>#DIV/0!</v>
      </c>
      <c r="L36" s="3"/>
      <c r="M36" s="26">
        <f>E36+'6-11-22'!M36</f>
        <v>0</v>
      </c>
      <c r="N36" s="27">
        <f>M36/C36</f>
        <v>0</v>
      </c>
      <c r="O36" s="35">
        <f>J36+'6-11-22'!O36</f>
        <v>24</v>
      </c>
      <c r="P36" s="26">
        <f>M36/O36</f>
        <v>0</v>
      </c>
    </row>
    <row r="37" spans="1:16" ht="15.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27"/>
      <c r="O37" s="3"/>
      <c r="P37" s="3"/>
    </row>
    <row r="38" spans="1:16" ht="15.6" x14ac:dyDescent="0.3">
      <c r="A38" s="3"/>
      <c r="B38" s="8" t="s">
        <v>50</v>
      </c>
      <c r="C38" s="8">
        <f>2760+480</f>
        <v>3240</v>
      </c>
      <c r="D38" s="8"/>
      <c r="E38" s="8"/>
      <c r="F38" s="8"/>
      <c r="G38" s="35"/>
      <c r="H38" s="8"/>
      <c r="I38" s="16"/>
      <c r="J38" s="35">
        <f>F38*G38+H38*I38</f>
        <v>0</v>
      </c>
      <c r="K38" s="16" t="e">
        <f>E38/(J38)</f>
        <v>#DIV/0!</v>
      </c>
      <c r="L38" s="3"/>
      <c r="M38" s="26">
        <f>E38+'6-11-22'!M38</f>
        <v>555</v>
      </c>
      <c r="N38" s="27">
        <f>M38/C38</f>
        <v>0.17129629629629631</v>
      </c>
      <c r="O38" s="35">
        <f>J38+'6-11-22'!O38</f>
        <v>25.5</v>
      </c>
      <c r="P38" s="26">
        <f>M38/O38</f>
        <v>21.764705882352942</v>
      </c>
    </row>
    <row r="39" spans="1:16" ht="15.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7"/>
      <c r="O39" s="3"/>
      <c r="P39" s="3"/>
    </row>
    <row r="40" spans="1:16" ht="15.6" x14ac:dyDescent="0.3">
      <c r="A40" s="3"/>
      <c r="B40" s="8" t="s">
        <v>115</v>
      </c>
      <c r="C40" s="8">
        <v>25</v>
      </c>
      <c r="D40" s="8"/>
      <c r="E40" s="8"/>
      <c r="F40" s="8"/>
      <c r="G40" s="35"/>
      <c r="H40" s="8"/>
      <c r="I40" s="16"/>
      <c r="J40" s="35">
        <f>F40*G40+H40*I40</f>
        <v>0</v>
      </c>
      <c r="K40" s="16" t="e">
        <f>E40/(J40)</f>
        <v>#DIV/0!</v>
      </c>
      <c r="L40" s="3"/>
      <c r="M40" s="26">
        <f>E40+'6-11-22'!M40</f>
        <v>0</v>
      </c>
      <c r="N40" s="27">
        <f>M40/C40</f>
        <v>0</v>
      </c>
      <c r="O40" s="35">
        <f>J40+'6-11-22'!O40</f>
        <v>0</v>
      </c>
      <c r="P40" s="26" t="e">
        <f>M40/O40</f>
        <v>#DIV/0!</v>
      </c>
    </row>
    <row r="41" spans="1:16" ht="15.6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27"/>
      <c r="O41" s="3"/>
      <c r="P41" s="3"/>
    </row>
    <row r="42" spans="1:16" ht="15.6" x14ac:dyDescent="0.3">
      <c r="A42" s="3"/>
      <c r="B42" s="8" t="s">
        <v>113</v>
      </c>
      <c r="C42" s="8" t="s">
        <v>52</v>
      </c>
      <c r="D42" s="8"/>
      <c r="E42" s="8"/>
      <c r="F42" s="8"/>
      <c r="G42" s="35"/>
      <c r="H42" s="8"/>
      <c r="I42" s="16"/>
      <c r="J42" s="35">
        <f>F42*G42+H42*I42</f>
        <v>0</v>
      </c>
      <c r="K42" s="16" t="e">
        <f>E42/(J42)</f>
        <v>#DIV/0!</v>
      </c>
      <c r="L42" s="3"/>
      <c r="M42" s="26">
        <f>E42+'6-11-22'!M42</f>
        <v>0</v>
      </c>
      <c r="N42" s="53" t="e">
        <f>M42/C42</f>
        <v>#VALUE!</v>
      </c>
      <c r="O42" s="35">
        <f>J42+'6-11-22'!O42</f>
        <v>0</v>
      </c>
      <c r="P42" s="26" t="e">
        <f>M42/O42</f>
        <v>#DIV/0!</v>
      </c>
    </row>
    <row r="43" spans="1:16" ht="15.6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27"/>
      <c r="O43" s="3"/>
      <c r="P43" s="3"/>
    </row>
    <row r="44" spans="1:16" ht="15.6" x14ac:dyDescent="0.3">
      <c r="A44" s="3"/>
      <c r="B44" s="8" t="s">
        <v>114</v>
      </c>
      <c r="C44" s="8" t="s">
        <v>52</v>
      </c>
      <c r="D44" s="8"/>
      <c r="E44" s="8"/>
      <c r="F44" s="8"/>
      <c r="G44" s="35"/>
      <c r="H44" s="8"/>
      <c r="I44" s="16"/>
      <c r="J44" s="35">
        <f>F44*G44+H44*I44</f>
        <v>0</v>
      </c>
      <c r="K44" s="16" t="e">
        <f>E44/(J44)</f>
        <v>#DIV/0!</v>
      </c>
      <c r="L44" s="3"/>
      <c r="M44" s="26" t="e">
        <f>E44+'6-11-22'!M44</f>
        <v>#VALUE!</v>
      </c>
      <c r="N44" s="53" t="e">
        <f>M44/C44</f>
        <v>#VALUE!</v>
      </c>
      <c r="O44" s="35">
        <f>J44+'6-11-22'!O44</f>
        <v>99</v>
      </c>
      <c r="P44" s="26" t="e">
        <f>M44/O44</f>
        <v>#VALUE!</v>
      </c>
    </row>
    <row r="45" spans="1:16" ht="15.6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27"/>
      <c r="O45" s="3"/>
      <c r="P45" s="3"/>
    </row>
    <row r="46" spans="1:16" ht="15.6" x14ac:dyDescent="0.3">
      <c r="A46" s="3"/>
      <c r="B46" s="8" t="s">
        <v>75</v>
      </c>
      <c r="C46" s="8"/>
      <c r="D46" s="8" t="s">
        <v>52</v>
      </c>
      <c r="E46" s="8"/>
      <c r="F46" s="8"/>
      <c r="G46" s="35"/>
      <c r="H46" s="8"/>
      <c r="I46" s="16"/>
      <c r="J46" s="35">
        <f>F46*G46+H46*I46</f>
        <v>0</v>
      </c>
      <c r="K46" s="16" t="e">
        <f>E46/(J46)</f>
        <v>#DIV/0!</v>
      </c>
      <c r="L46" s="3"/>
      <c r="M46" s="26">
        <f>E46+'6-11-22'!M46</f>
        <v>0</v>
      </c>
      <c r="N46" s="53" t="e">
        <f>M46/C46</f>
        <v>#DIV/0!</v>
      </c>
      <c r="O46" s="35">
        <f>J46+'6-11-22'!O46</f>
        <v>225.75</v>
      </c>
      <c r="P46" s="26">
        <f>M46/O46</f>
        <v>0</v>
      </c>
    </row>
    <row r="47" spans="1:16" ht="15.6" x14ac:dyDescent="0.3">
      <c r="A47" s="3"/>
      <c r="B47" s="3" t="s">
        <v>27</v>
      </c>
      <c r="C47" s="3"/>
      <c r="D47" s="3" t="s">
        <v>52</v>
      </c>
      <c r="E47" s="3"/>
      <c r="F47" s="3"/>
      <c r="G47" s="3"/>
      <c r="H47" s="30"/>
      <c r="I47" s="4"/>
      <c r="J47" s="3">
        <f>J20+J22+J24+J26+J28+J30+J32+J34+J36+J38+J40+J42+J44+J46</f>
        <v>0</v>
      </c>
      <c r="K47" s="3"/>
      <c r="L47" s="3"/>
      <c r="M47" s="3"/>
      <c r="N47" s="3"/>
      <c r="O47" s="3">
        <f>O20+O22+O24+O26+O28+O30+O32+O34+O36+O38+O40+O42+O44+O46</f>
        <v>2055</v>
      </c>
      <c r="P47" s="3"/>
    </row>
    <row r="48" spans="1:16" ht="15.6" x14ac:dyDescent="0.3">
      <c r="A48" s="3"/>
      <c r="B48" s="3"/>
      <c r="C48" s="3"/>
      <c r="D48" s="3"/>
      <c r="E48" s="3"/>
      <c r="F48" s="3"/>
      <c r="G48" s="3"/>
      <c r="H48" s="3"/>
      <c r="I48" s="4"/>
      <c r="J48" s="3"/>
      <c r="K48" s="3"/>
      <c r="L48" s="3"/>
      <c r="M48" s="3"/>
      <c r="N48" s="3"/>
      <c r="O48" s="3"/>
      <c r="P48" s="3"/>
    </row>
    <row r="49" spans="1:16" ht="15.6" x14ac:dyDescent="0.3">
      <c r="A49" s="3"/>
      <c r="B49" s="3" t="s">
        <v>28</v>
      </c>
      <c r="C49" s="3" t="s">
        <v>70</v>
      </c>
      <c r="D49" s="3"/>
      <c r="E49" s="3"/>
      <c r="F49" s="3"/>
      <c r="G49" s="3"/>
      <c r="H49" s="3"/>
      <c r="I49" s="4"/>
      <c r="J49" s="3"/>
      <c r="K49" s="3"/>
      <c r="L49" s="3"/>
      <c r="M49" s="3"/>
      <c r="N49" s="3"/>
      <c r="O49" s="3"/>
      <c r="P49" s="3"/>
    </row>
    <row r="50" spans="1:16" ht="15.6" x14ac:dyDescent="0.3">
      <c r="C50" s="33"/>
    </row>
    <row r="51" spans="1:16" ht="15.6" x14ac:dyDescent="0.3">
      <c r="B51" s="3" t="s">
        <v>32</v>
      </c>
      <c r="C51" s="33" t="s">
        <v>157</v>
      </c>
    </row>
    <row r="52" spans="1:16" ht="15.6" x14ac:dyDescent="0.3">
      <c r="C52" s="33"/>
    </row>
    <row r="53" spans="1:16" ht="15.6" x14ac:dyDescent="0.3">
      <c r="B53" s="3" t="s">
        <v>33</v>
      </c>
      <c r="C53" s="3" t="s">
        <v>158</v>
      </c>
    </row>
    <row r="54" spans="1:16" ht="15.6" x14ac:dyDescent="0.3">
      <c r="C54" s="33"/>
    </row>
    <row r="55" spans="1:16" ht="15.6" x14ac:dyDescent="0.3">
      <c r="C55" s="33" t="s">
        <v>52</v>
      </c>
    </row>
    <row r="57" spans="1:16" x14ac:dyDescent="0.3">
      <c r="C57" t="s">
        <v>52</v>
      </c>
      <c r="D57" t="s">
        <v>52</v>
      </c>
    </row>
    <row r="58" spans="1:16" x14ac:dyDescent="0.3">
      <c r="C58" t="s">
        <v>52</v>
      </c>
      <c r="D58" t="s">
        <v>52</v>
      </c>
    </row>
  </sheetData>
  <mergeCells count="2">
    <mergeCell ref="A1:G1"/>
    <mergeCell ref="H7:I7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F5B45-9769-4589-B0F2-34C535A1767E}">
  <dimension ref="A1:P58"/>
  <sheetViews>
    <sheetView zoomScale="85" zoomScaleNormal="85" workbookViewId="0">
      <selection activeCell="D18" sqref="D18"/>
    </sheetView>
  </sheetViews>
  <sheetFormatPr defaultRowHeight="14.4" x14ac:dyDescent="0.3"/>
  <cols>
    <col min="1" max="1" width="11.33203125" customWidth="1"/>
    <col min="2" max="2" width="29.33203125" customWidth="1"/>
    <col min="3" max="3" width="22.109375" customWidth="1"/>
    <col min="4" max="4" width="14.88671875" customWidth="1"/>
    <col min="5" max="5" width="16.6640625" customWidth="1"/>
    <col min="6" max="6" width="17.44140625" customWidth="1"/>
    <col min="8" max="8" width="20.44140625" customWidth="1"/>
    <col min="13" max="13" width="10.6640625" customWidth="1"/>
    <col min="14" max="14" width="10" bestFit="1" customWidth="1"/>
    <col min="15" max="15" width="10.6640625" customWidth="1"/>
  </cols>
  <sheetData>
    <row r="1" spans="1:16" ht="18" x14ac:dyDescent="0.35">
      <c r="A1" s="66" t="s">
        <v>0</v>
      </c>
      <c r="B1" s="66"/>
      <c r="C1" s="66"/>
      <c r="D1" s="66"/>
      <c r="E1" s="66"/>
      <c r="F1" s="66"/>
      <c r="G1" s="66"/>
      <c r="H1" s="1"/>
      <c r="I1" s="2"/>
      <c r="J1" s="1"/>
      <c r="K1" s="1"/>
      <c r="L1" s="1"/>
      <c r="M1" s="1"/>
      <c r="N1" s="1"/>
      <c r="O1" s="1"/>
      <c r="P1" s="1"/>
    </row>
    <row r="2" spans="1:16" ht="15.6" x14ac:dyDescent="0.3">
      <c r="A2" s="3"/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</row>
    <row r="3" spans="1:16" ht="15.6" x14ac:dyDescent="0.3">
      <c r="A3" s="3"/>
      <c r="B3" s="5" t="s">
        <v>1</v>
      </c>
      <c r="C3" s="6" t="s">
        <v>43</v>
      </c>
      <c r="D3" s="7"/>
      <c r="E3" s="3"/>
      <c r="F3" s="5" t="s">
        <v>2</v>
      </c>
      <c r="G3" s="8">
        <v>4355</v>
      </c>
      <c r="H3" s="5" t="s">
        <v>41</v>
      </c>
      <c r="I3" s="36">
        <v>49</v>
      </c>
      <c r="J3" s="3"/>
      <c r="K3" s="3"/>
      <c r="L3" s="3"/>
      <c r="M3" s="3"/>
      <c r="N3" s="3"/>
      <c r="O3" s="3"/>
      <c r="P3" s="3"/>
    </row>
    <row r="4" spans="1:16" ht="15.6" x14ac:dyDescent="0.3">
      <c r="A4" s="3"/>
      <c r="B4" s="5" t="s">
        <v>3</v>
      </c>
      <c r="C4" s="37">
        <v>300155</v>
      </c>
      <c r="D4" s="7"/>
      <c r="E4" s="3"/>
      <c r="F4" s="5" t="s">
        <v>4</v>
      </c>
      <c r="G4" s="8">
        <f>J16+'6-10-22'!G4</f>
        <v>2055</v>
      </c>
      <c r="H4" s="34" t="s">
        <v>42</v>
      </c>
      <c r="I4" s="4">
        <v>27</v>
      </c>
      <c r="J4" s="3"/>
      <c r="K4" s="3"/>
      <c r="L4" s="3"/>
      <c r="M4" s="3"/>
      <c r="N4" s="3"/>
      <c r="O4" s="3"/>
      <c r="P4" s="3"/>
    </row>
    <row r="5" spans="1:16" ht="15.6" x14ac:dyDescent="0.3">
      <c r="A5" s="3"/>
      <c r="B5" s="5" t="s">
        <v>5</v>
      </c>
      <c r="C5" s="38">
        <v>44723</v>
      </c>
      <c r="D5" s="3"/>
      <c r="E5" s="3"/>
      <c r="F5" s="3"/>
      <c r="G5" s="3"/>
      <c r="H5" s="3"/>
      <c r="I5" s="4"/>
      <c r="J5" s="3"/>
      <c r="K5" s="3"/>
      <c r="L5" s="3"/>
      <c r="M5" s="3"/>
      <c r="N5" s="3"/>
      <c r="O5" s="3"/>
      <c r="P5" s="3"/>
    </row>
    <row r="6" spans="1:16" ht="15.6" x14ac:dyDescent="0.3">
      <c r="A6" s="3"/>
      <c r="B6" s="5"/>
      <c r="C6" s="3"/>
      <c r="D6" s="3"/>
      <c r="E6" s="3"/>
      <c r="F6" s="3"/>
      <c r="G6" s="3"/>
      <c r="H6" s="3"/>
      <c r="I6" s="4"/>
      <c r="J6" s="3"/>
      <c r="K6" s="3"/>
      <c r="L6" s="3"/>
      <c r="M6" s="3"/>
      <c r="N6" s="3"/>
      <c r="O6" s="3"/>
      <c r="P6" s="3"/>
    </row>
    <row r="7" spans="1:16" ht="15.6" x14ac:dyDescent="0.3">
      <c r="A7" s="10" t="s">
        <v>6</v>
      </c>
      <c r="B7" s="11"/>
      <c r="C7" s="12" t="s">
        <v>7</v>
      </c>
      <c r="D7" s="3"/>
      <c r="E7" s="12" t="s">
        <v>8</v>
      </c>
      <c r="F7" s="12" t="s">
        <v>34</v>
      </c>
      <c r="G7" s="3"/>
      <c r="H7" s="67" t="s">
        <v>7</v>
      </c>
      <c r="I7" s="67"/>
      <c r="J7" s="12" t="s">
        <v>8</v>
      </c>
      <c r="K7" s="3"/>
      <c r="L7" s="3"/>
      <c r="M7" s="3"/>
      <c r="N7" s="3"/>
      <c r="O7" s="3"/>
      <c r="P7" s="3"/>
    </row>
    <row r="8" spans="1:16" ht="15.6" x14ac:dyDescent="0.3">
      <c r="A8" s="13">
        <v>1</v>
      </c>
      <c r="B8" s="5" t="s">
        <v>9</v>
      </c>
      <c r="C8" s="14" t="s">
        <v>35</v>
      </c>
      <c r="D8" s="15"/>
      <c r="E8" s="35">
        <v>8</v>
      </c>
      <c r="F8" s="16">
        <v>66</v>
      </c>
      <c r="G8" s="11">
        <v>9</v>
      </c>
      <c r="H8" s="14" t="s">
        <v>40</v>
      </c>
      <c r="I8" s="8"/>
      <c r="J8" s="39">
        <v>8</v>
      </c>
      <c r="K8" s="3"/>
      <c r="L8" s="3"/>
      <c r="M8" s="3"/>
      <c r="N8" s="3"/>
      <c r="O8" s="3"/>
      <c r="P8" s="3"/>
    </row>
    <row r="9" spans="1:16" ht="15.6" x14ac:dyDescent="0.3">
      <c r="A9" s="13">
        <v>2</v>
      </c>
      <c r="B9" s="5" t="s">
        <v>10</v>
      </c>
      <c r="C9" s="14" t="s">
        <v>37</v>
      </c>
      <c r="D9" s="8"/>
      <c r="E9" s="35">
        <v>8</v>
      </c>
      <c r="F9" s="16"/>
      <c r="G9" s="11">
        <v>10</v>
      </c>
      <c r="H9" s="14"/>
      <c r="I9" s="8"/>
      <c r="J9" s="39"/>
      <c r="K9" s="3"/>
      <c r="L9" s="3"/>
      <c r="M9" s="3"/>
      <c r="N9" s="3"/>
      <c r="O9" s="3"/>
      <c r="P9" s="3"/>
    </row>
    <row r="10" spans="1:16" ht="15.6" x14ac:dyDescent="0.3">
      <c r="A10" s="13">
        <v>3</v>
      </c>
      <c r="B10" s="5" t="s">
        <v>11</v>
      </c>
      <c r="C10" s="14" t="s">
        <v>36</v>
      </c>
      <c r="D10" s="8"/>
      <c r="E10" s="35">
        <v>8</v>
      </c>
      <c r="F10" s="16">
        <v>78</v>
      </c>
      <c r="G10" s="11">
        <v>11</v>
      </c>
      <c r="H10" s="3"/>
      <c r="I10" s="8"/>
      <c r="J10" s="39"/>
      <c r="K10" s="3"/>
      <c r="L10" s="3"/>
      <c r="M10" s="3"/>
      <c r="N10" s="3"/>
      <c r="O10" s="3"/>
      <c r="P10" s="3"/>
    </row>
    <row r="11" spans="1:16" ht="15.6" x14ac:dyDescent="0.3">
      <c r="A11" s="13">
        <v>4</v>
      </c>
      <c r="B11" s="5" t="s">
        <v>12</v>
      </c>
      <c r="C11" s="14" t="s">
        <v>29</v>
      </c>
      <c r="D11" s="8"/>
      <c r="E11" s="35">
        <v>8</v>
      </c>
      <c r="F11" s="16"/>
      <c r="G11" s="11">
        <v>12</v>
      </c>
      <c r="H11" s="3"/>
      <c r="I11" s="8"/>
      <c r="J11" s="39"/>
      <c r="K11" s="3"/>
      <c r="L11" s="3"/>
      <c r="M11" s="3"/>
      <c r="N11" s="3"/>
      <c r="O11" s="3"/>
      <c r="P11" s="3"/>
    </row>
    <row r="12" spans="1:16" ht="15.6" x14ac:dyDescent="0.3">
      <c r="A12" s="13">
        <v>5</v>
      </c>
      <c r="B12" s="3"/>
      <c r="C12" s="31" t="s">
        <v>30</v>
      </c>
      <c r="D12" s="8"/>
      <c r="E12" s="35">
        <v>8</v>
      </c>
      <c r="F12" s="16"/>
      <c r="G12" s="11">
        <v>13</v>
      </c>
      <c r="H12" s="3"/>
      <c r="I12" s="8"/>
      <c r="J12" s="39"/>
      <c r="K12" s="3"/>
      <c r="L12" s="3"/>
      <c r="M12" s="3"/>
      <c r="N12" s="3"/>
      <c r="O12" s="3"/>
      <c r="P12" s="3"/>
    </row>
    <row r="13" spans="1:16" ht="15.6" x14ac:dyDescent="0.3">
      <c r="A13" s="13">
        <v>6</v>
      </c>
      <c r="B13" s="3"/>
      <c r="C13" s="14" t="s">
        <v>31</v>
      </c>
      <c r="D13" s="8"/>
      <c r="E13" s="35">
        <v>8</v>
      </c>
      <c r="F13" s="16">
        <v>74</v>
      </c>
      <c r="G13" s="11">
        <v>14</v>
      </c>
      <c r="H13" s="18"/>
      <c r="I13" s="8"/>
      <c r="J13" s="39"/>
      <c r="K13" s="3"/>
      <c r="L13" s="3"/>
      <c r="M13" s="3"/>
      <c r="N13" s="3"/>
      <c r="O13" s="3"/>
      <c r="P13" s="3"/>
    </row>
    <row r="14" spans="1:16" ht="15.6" x14ac:dyDescent="0.3">
      <c r="A14" s="13">
        <v>7</v>
      </c>
      <c r="B14" s="5" t="s">
        <v>52</v>
      </c>
      <c r="C14" s="14" t="s">
        <v>39</v>
      </c>
      <c r="D14" s="8"/>
      <c r="E14" s="35">
        <v>8</v>
      </c>
      <c r="F14" s="16"/>
      <c r="G14" s="11">
        <v>15</v>
      </c>
      <c r="H14" s="3"/>
      <c r="I14" s="8"/>
      <c r="J14" s="39"/>
      <c r="K14" s="3"/>
      <c r="L14" s="3"/>
      <c r="M14" s="3"/>
      <c r="N14" s="3"/>
      <c r="O14" s="3"/>
      <c r="P14" s="3"/>
    </row>
    <row r="15" spans="1:16" ht="15.6" x14ac:dyDescent="0.3">
      <c r="A15" s="13">
        <v>8</v>
      </c>
      <c r="B15" s="3"/>
      <c r="C15" s="14" t="s">
        <v>38</v>
      </c>
      <c r="D15" s="8"/>
      <c r="E15" s="35">
        <v>8</v>
      </c>
      <c r="F15" s="16"/>
      <c r="G15" s="11">
        <v>16</v>
      </c>
      <c r="H15" s="3"/>
      <c r="I15" s="8"/>
      <c r="J15" s="39"/>
      <c r="K15" s="3"/>
      <c r="L15" s="3"/>
      <c r="M15" s="3"/>
      <c r="N15" s="3"/>
      <c r="O15" s="3"/>
      <c r="P15" s="3"/>
    </row>
    <row r="16" spans="1:16" ht="15.6" x14ac:dyDescent="0.3">
      <c r="A16" s="3"/>
      <c r="B16" s="3"/>
      <c r="C16" s="3"/>
      <c r="D16" s="3"/>
      <c r="E16" s="3"/>
      <c r="F16" s="3"/>
      <c r="G16" s="13"/>
      <c r="H16" s="7" t="s">
        <v>13</v>
      </c>
      <c r="I16" s="3"/>
      <c r="J16" s="8">
        <f>SUM(E8:E15)+SUM(J8:J15)</f>
        <v>72</v>
      </c>
      <c r="K16" s="3"/>
      <c r="L16" s="3"/>
      <c r="M16" s="3"/>
      <c r="N16" s="3"/>
      <c r="O16" s="3"/>
      <c r="P16" s="3"/>
    </row>
    <row r="17" spans="1:16" ht="15.6" x14ac:dyDescent="0.3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  <c r="L17" s="3"/>
      <c r="M17" s="3"/>
      <c r="N17" s="3"/>
      <c r="O17" s="3"/>
      <c r="P17" s="3"/>
    </row>
    <row r="18" spans="1:16" ht="93.6" x14ac:dyDescent="0.3">
      <c r="A18" s="19"/>
      <c r="B18" s="20" t="s">
        <v>14</v>
      </c>
      <c r="C18" s="21" t="s">
        <v>15</v>
      </c>
      <c r="D18" s="22" t="s">
        <v>16</v>
      </c>
      <c r="E18" s="22" t="s">
        <v>17</v>
      </c>
      <c r="F18" s="22" t="s">
        <v>18</v>
      </c>
      <c r="G18" s="22" t="s">
        <v>19</v>
      </c>
      <c r="H18" s="22" t="s">
        <v>18</v>
      </c>
      <c r="I18" s="22" t="s">
        <v>19</v>
      </c>
      <c r="J18" s="22" t="s">
        <v>20</v>
      </c>
      <c r="K18" s="23" t="s">
        <v>21</v>
      </c>
      <c r="L18" s="24"/>
      <c r="M18" s="23" t="s">
        <v>22</v>
      </c>
      <c r="N18" s="23" t="s">
        <v>23</v>
      </c>
      <c r="O18" s="23" t="s">
        <v>24</v>
      </c>
      <c r="P18" s="23" t="s">
        <v>25</v>
      </c>
    </row>
    <row r="19" spans="1:16" ht="15.6" x14ac:dyDescent="0.3">
      <c r="A19" s="19"/>
      <c r="B19" s="19"/>
      <c r="C19" s="24"/>
      <c r="D19" s="24"/>
      <c r="E19" s="24"/>
      <c r="F19" s="24"/>
      <c r="G19" s="24"/>
      <c r="H19" s="24"/>
      <c r="I19" s="24"/>
      <c r="J19" s="24"/>
      <c r="K19" s="25"/>
      <c r="L19" s="24"/>
      <c r="M19" s="3"/>
      <c r="N19" s="3"/>
      <c r="O19" s="3"/>
      <c r="P19" s="3"/>
    </row>
    <row r="20" spans="1:16" ht="15.6" x14ac:dyDescent="0.3">
      <c r="A20" s="3"/>
      <c r="B20" s="8" t="s">
        <v>26</v>
      </c>
      <c r="C20" s="8">
        <v>1</v>
      </c>
      <c r="D20" s="8">
        <v>1</v>
      </c>
      <c r="E20" s="8"/>
      <c r="F20" s="8"/>
      <c r="G20" s="35">
        <v>0</v>
      </c>
      <c r="H20" s="8"/>
      <c r="I20" s="16"/>
      <c r="J20" s="35">
        <f>F20*G20+H20*I20</f>
        <v>0</v>
      </c>
      <c r="K20" s="16" t="e">
        <f>E20/(J20)</f>
        <v>#DIV/0!</v>
      </c>
      <c r="L20" s="3"/>
      <c r="M20" s="26">
        <v>0</v>
      </c>
      <c r="N20" s="27">
        <f>M20/C20</f>
        <v>0</v>
      </c>
      <c r="O20" s="35">
        <f>J20+'6-10-22'!O20</f>
        <v>108</v>
      </c>
      <c r="P20" s="26">
        <f>M20/O20</f>
        <v>0</v>
      </c>
    </row>
    <row r="21" spans="1:16" ht="15.6" x14ac:dyDescent="0.3">
      <c r="A21" s="3"/>
      <c r="B21" s="3"/>
      <c r="C21" s="3"/>
      <c r="D21" s="3"/>
      <c r="E21" s="3"/>
      <c r="F21" s="3"/>
      <c r="G21" s="40"/>
      <c r="H21" s="3"/>
      <c r="I21" s="28"/>
      <c r="J21" s="40"/>
      <c r="K21" s="28"/>
      <c r="L21" s="3"/>
      <c r="M21" s="29"/>
      <c r="N21" s="3"/>
      <c r="O21" s="3"/>
      <c r="P21" s="3"/>
    </row>
    <row r="22" spans="1:16" ht="15.6" x14ac:dyDescent="0.3">
      <c r="A22" s="3"/>
      <c r="B22" s="8" t="s">
        <v>53</v>
      </c>
      <c r="C22" s="8">
        <v>125400</v>
      </c>
      <c r="D22" s="41"/>
      <c r="E22" s="41"/>
      <c r="F22" s="8"/>
      <c r="G22" s="35"/>
      <c r="H22" s="8"/>
      <c r="I22" s="16"/>
      <c r="J22" s="35">
        <f>F22*G22+H22*I22</f>
        <v>0</v>
      </c>
      <c r="K22" s="16" t="e">
        <f>E22/(J22)</f>
        <v>#DIV/0!</v>
      </c>
      <c r="L22" s="3"/>
      <c r="M22" s="26">
        <f>E22+'6-10-22'!M22</f>
        <v>125400</v>
      </c>
      <c r="N22" s="27">
        <f>M22/C22</f>
        <v>1</v>
      </c>
      <c r="O22" s="35">
        <f>J22+'6-10-22'!O22</f>
        <v>679.75</v>
      </c>
      <c r="P22" s="26">
        <f>M22/O22</f>
        <v>184.47958808385437</v>
      </c>
    </row>
    <row r="23" spans="1:16" ht="15.6" x14ac:dyDescent="0.3">
      <c r="A23" s="3"/>
      <c r="B23" s="3"/>
      <c r="C23" s="3"/>
      <c r="D23" s="3"/>
      <c r="E23" s="3"/>
      <c r="F23" s="3"/>
      <c r="G23" s="40"/>
      <c r="H23" s="3"/>
      <c r="I23" s="28"/>
      <c r="J23" s="40"/>
      <c r="K23" s="28"/>
      <c r="L23" s="3"/>
      <c r="M23" s="29"/>
      <c r="N23" s="3"/>
      <c r="O23" s="36"/>
      <c r="P23" s="29"/>
    </row>
    <row r="24" spans="1:16" ht="15.6" x14ac:dyDescent="0.3">
      <c r="A24" s="3"/>
      <c r="B24" s="8" t="s">
        <v>54</v>
      </c>
      <c r="C24" s="8">
        <v>125400</v>
      </c>
      <c r="D24" s="8"/>
      <c r="E24" s="8"/>
      <c r="F24" s="8"/>
      <c r="G24" s="35"/>
      <c r="H24" s="8"/>
      <c r="I24" s="16"/>
      <c r="J24" s="35">
        <f>F24*G24+H24*I24</f>
        <v>0</v>
      </c>
      <c r="K24" s="16" t="e">
        <f>E24/(J24)</f>
        <v>#DIV/0!</v>
      </c>
      <c r="L24" s="3"/>
      <c r="M24" s="26">
        <f>E24+'6-10-22'!M24</f>
        <v>125400</v>
      </c>
      <c r="N24" s="27">
        <f>M24/C24</f>
        <v>1</v>
      </c>
      <c r="O24" s="35">
        <f>J24+'6-10-22'!O24</f>
        <v>449.75</v>
      </c>
      <c r="P24" s="26">
        <f>M24/O24</f>
        <v>278.82156753752082</v>
      </c>
    </row>
    <row r="25" spans="1:16" ht="15.6" x14ac:dyDescent="0.3">
      <c r="A25" s="3"/>
      <c r="B25" s="3"/>
      <c r="C25" s="3"/>
      <c r="D25" s="3"/>
      <c r="E25" s="3"/>
      <c r="F25" s="3"/>
      <c r="G25" s="36"/>
      <c r="H25" s="3"/>
      <c r="I25" s="4"/>
      <c r="J25" s="36"/>
      <c r="K25" s="4"/>
      <c r="L25" s="3"/>
      <c r="M25" s="29"/>
      <c r="N25" s="3"/>
      <c r="O25" s="3"/>
      <c r="P25" s="3"/>
    </row>
    <row r="26" spans="1:16" ht="15.6" x14ac:dyDescent="0.3">
      <c r="A26" s="3"/>
      <c r="B26" s="8" t="s">
        <v>44</v>
      </c>
      <c r="C26" s="8">
        <v>3040</v>
      </c>
      <c r="D26" s="8"/>
      <c r="E26" s="8"/>
      <c r="F26" s="8"/>
      <c r="G26" s="35"/>
      <c r="H26" s="8"/>
      <c r="I26" s="16"/>
      <c r="J26" s="35">
        <f>F26*G26+H26*I26</f>
        <v>0</v>
      </c>
      <c r="K26" s="16" t="e">
        <f>E26/(J26)</f>
        <v>#DIV/0!</v>
      </c>
      <c r="L26" s="3"/>
      <c r="M26" s="26">
        <f>E26+'6-10-22'!M26</f>
        <v>1516</v>
      </c>
      <c r="N26" s="27">
        <f>M26/C26</f>
        <v>0.49868421052631579</v>
      </c>
      <c r="O26" s="35">
        <f>J26+'6-10-22'!O26</f>
        <v>80</v>
      </c>
      <c r="P26" s="26">
        <f>M26/O26</f>
        <v>18.95</v>
      </c>
    </row>
    <row r="27" spans="1:16" ht="15.6" x14ac:dyDescent="0.3">
      <c r="A27" s="3"/>
      <c r="B27" s="3"/>
      <c r="C27" s="3"/>
      <c r="D27" s="3"/>
      <c r="E27" s="3"/>
      <c r="F27" s="3"/>
      <c r="G27" s="36"/>
      <c r="H27" s="3"/>
      <c r="I27" s="4"/>
      <c r="J27" s="36"/>
      <c r="K27" s="4"/>
      <c r="L27" s="3"/>
      <c r="M27" s="29"/>
      <c r="N27" s="3"/>
      <c r="O27" s="3"/>
      <c r="P27" s="3"/>
    </row>
    <row r="28" spans="1:16" ht="15.6" x14ac:dyDescent="0.3">
      <c r="A28" s="3"/>
      <c r="B28" s="8" t="s">
        <v>45</v>
      </c>
      <c r="C28" s="8">
        <v>3040</v>
      </c>
      <c r="D28" s="8"/>
      <c r="E28" s="8"/>
      <c r="F28" s="8"/>
      <c r="G28" s="35"/>
      <c r="H28" s="8"/>
      <c r="I28" s="16"/>
      <c r="J28" s="35">
        <f>F28*G28+H28*I28</f>
        <v>0</v>
      </c>
      <c r="K28" s="16" t="e">
        <f>E28/(J28)</f>
        <v>#DIV/0!</v>
      </c>
      <c r="L28" s="3"/>
      <c r="M28" s="26">
        <f>E28+'6-10-22'!M28</f>
        <v>853</v>
      </c>
      <c r="N28" s="27">
        <f>M28/C28</f>
        <v>0.28059210526315792</v>
      </c>
      <c r="O28" s="35">
        <f>J28+'6-10-22'!O28</f>
        <v>82</v>
      </c>
      <c r="P28" s="26">
        <f>M28/O28</f>
        <v>10.402439024390244</v>
      </c>
    </row>
    <row r="29" spans="1:16" ht="15.6" x14ac:dyDescent="0.3">
      <c r="A29" s="3"/>
      <c r="B29" s="3"/>
      <c r="C29" s="3"/>
      <c r="D29" s="3"/>
      <c r="E29" s="3"/>
      <c r="F29" s="3"/>
      <c r="G29" s="36"/>
      <c r="H29" s="3"/>
      <c r="I29" s="4"/>
      <c r="J29" s="36"/>
      <c r="K29" s="4"/>
      <c r="L29" s="3"/>
      <c r="M29" s="29"/>
      <c r="N29" s="3"/>
      <c r="O29" s="3"/>
      <c r="P29" s="3"/>
    </row>
    <row r="30" spans="1:16" ht="15.6" x14ac:dyDescent="0.3">
      <c r="A30" s="3"/>
      <c r="B30" s="8" t="s">
        <v>47</v>
      </c>
      <c r="C30" s="8">
        <v>125400</v>
      </c>
      <c r="D30" s="8"/>
      <c r="E30" s="8">
        <v>50490</v>
      </c>
      <c r="F30" s="8">
        <v>9</v>
      </c>
      <c r="G30" s="35">
        <v>8</v>
      </c>
      <c r="H30" s="8"/>
      <c r="I30" s="35"/>
      <c r="J30" s="35">
        <f>F30*G30+H30*I30</f>
        <v>72</v>
      </c>
      <c r="K30" s="16">
        <f>E30/(J30)</f>
        <v>701.25</v>
      </c>
      <c r="L30" s="3"/>
      <c r="M30" s="26">
        <f>E30+'6-10-22'!M30</f>
        <v>50490</v>
      </c>
      <c r="N30" s="27">
        <f>M30/C30</f>
        <v>0.4026315789473684</v>
      </c>
      <c r="O30" s="35">
        <f>J30+'6-10-22'!O30</f>
        <v>281.25</v>
      </c>
      <c r="P30" s="26">
        <f>M30/O30</f>
        <v>179.52</v>
      </c>
    </row>
    <row r="31" spans="1:16" ht="15.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7"/>
      <c r="O31" s="3"/>
      <c r="P31" s="3"/>
    </row>
    <row r="32" spans="1:16" ht="15.6" x14ac:dyDescent="0.3">
      <c r="A32" s="3"/>
      <c r="B32" s="8" t="s">
        <v>46</v>
      </c>
      <c r="C32" s="8">
        <v>324</v>
      </c>
      <c r="D32" s="8"/>
      <c r="E32" s="8"/>
      <c r="F32" s="8"/>
      <c r="G32" s="35"/>
      <c r="H32" s="8"/>
      <c r="I32" s="16"/>
      <c r="J32" s="35">
        <f>F32*G32+H32*I32</f>
        <v>0</v>
      </c>
      <c r="K32" s="16" t="e">
        <f>E32/(J32)</f>
        <v>#DIV/0!</v>
      </c>
      <c r="L32" s="3"/>
      <c r="M32" s="26">
        <f>E32+'6-10-22'!M32</f>
        <v>0</v>
      </c>
      <c r="N32" s="27">
        <f>M32/C32</f>
        <v>0</v>
      </c>
      <c r="O32" s="35">
        <f>J32+'6-10-22'!O32</f>
        <v>0</v>
      </c>
      <c r="P32" s="26" t="e">
        <f>M32/O32</f>
        <v>#DIV/0!</v>
      </c>
    </row>
    <row r="33" spans="1:16" ht="15.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7"/>
      <c r="O33" s="3"/>
      <c r="P33" s="3"/>
    </row>
    <row r="34" spans="1:16" ht="15.6" x14ac:dyDescent="0.3">
      <c r="A34" s="3"/>
      <c r="B34" s="8" t="s">
        <v>48</v>
      </c>
      <c r="C34" s="8">
        <v>115000</v>
      </c>
      <c r="D34" s="8"/>
      <c r="E34" s="8"/>
      <c r="F34" s="8"/>
      <c r="G34" s="35"/>
      <c r="H34" s="8"/>
      <c r="I34" s="16"/>
      <c r="J34" s="35">
        <f>F34*G34+H34*I34</f>
        <v>0</v>
      </c>
      <c r="K34" s="16" t="e">
        <f>E34/(J34)</f>
        <v>#DIV/0!</v>
      </c>
      <c r="L34" s="3"/>
      <c r="M34" s="26">
        <f>E34+'6-10-22'!M34</f>
        <v>0</v>
      </c>
      <c r="N34" s="27">
        <f>M34/C34</f>
        <v>0</v>
      </c>
      <c r="O34" s="35">
        <f>J34+'6-10-22'!O34</f>
        <v>0</v>
      </c>
      <c r="P34" s="26" t="e">
        <f>M34/O34</f>
        <v>#DIV/0!</v>
      </c>
    </row>
    <row r="35" spans="1:16" ht="15.6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27"/>
      <c r="O35" s="3"/>
      <c r="P35" s="3"/>
    </row>
    <row r="36" spans="1:16" ht="15.6" x14ac:dyDescent="0.3">
      <c r="A36" s="3"/>
      <c r="B36" s="8" t="s">
        <v>49</v>
      </c>
      <c r="C36" s="8">
        <v>8</v>
      </c>
      <c r="D36" s="8"/>
      <c r="E36" s="8"/>
      <c r="F36" s="8"/>
      <c r="G36" s="35"/>
      <c r="H36" s="8"/>
      <c r="I36" s="16"/>
      <c r="J36" s="35">
        <f>F36*G36+H36*I36</f>
        <v>0</v>
      </c>
      <c r="K36" s="16" t="e">
        <f>E36/(J36)</f>
        <v>#DIV/0!</v>
      </c>
      <c r="L36" s="3"/>
      <c r="M36" s="26">
        <f>E36+'6-10-22'!M36</f>
        <v>0</v>
      </c>
      <c r="N36" s="27">
        <f>M36/C36</f>
        <v>0</v>
      </c>
      <c r="O36" s="35">
        <f>J36+'6-10-22'!O36</f>
        <v>24</v>
      </c>
      <c r="P36" s="26">
        <f>M36/O36</f>
        <v>0</v>
      </c>
    </row>
    <row r="37" spans="1:16" ht="15.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27"/>
      <c r="O37" s="3"/>
      <c r="P37" s="3"/>
    </row>
    <row r="38" spans="1:16" ht="15.6" x14ac:dyDescent="0.3">
      <c r="A38" s="3"/>
      <c r="B38" s="8" t="s">
        <v>50</v>
      </c>
      <c r="C38" s="8">
        <f>2760+480</f>
        <v>3240</v>
      </c>
      <c r="D38" s="8"/>
      <c r="E38" s="8"/>
      <c r="F38" s="8"/>
      <c r="G38" s="35"/>
      <c r="H38" s="8"/>
      <c r="I38" s="16"/>
      <c r="J38" s="35">
        <f>F38*G38+H38*I38</f>
        <v>0</v>
      </c>
      <c r="K38" s="16" t="e">
        <f>E38/(J38)</f>
        <v>#DIV/0!</v>
      </c>
      <c r="L38" s="3"/>
      <c r="M38" s="26">
        <f>E38+'6-10-22'!M38</f>
        <v>555</v>
      </c>
      <c r="N38" s="27">
        <f>M38/C38</f>
        <v>0.17129629629629631</v>
      </c>
      <c r="O38" s="35">
        <f>J38+'6-10-22'!O38</f>
        <v>25.5</v>
      </c>
      <c r="P38" s="26">
        <f>M38/O38</f>
        <v>21.764705882352942</v>
      </c>
    </row>
    <row r="39" spans="1:16" ht="15.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7"/>
      <c r="O39" s="3"/>
      <c r="P39" s="3"/>
    </row>
    <row r="40" spans="1:16" ht="15.6" x14ac:dyDescent="0.3">
      <c r="A40" s="3"/>
      <c r="B40" s="8" t="s">
        <v>115</v>
      </c>
      <c r="C40" s="8">
        <v>25</v>
      </c>
      <c r="D40" s="8"/>
      <c r="E40" s="8"/>
      <c r="F40" s="8"/>
      <c r="G40" s="35"/>
      <c r="H40" s="8"/>
      <c r="I40" s="16"/>
      <c r="J40" s="35">
        <f>F40*G40+H40*I40</f>
        <v>0</v>
      </c>
      <c r="K40" s="16" t="e">
        <f>E40/(J40)</f>
        <v>#DIV/0!</v>
      </c>
      <c r="L40" s="3"/>
      <c r="M40" s="26">
        <f>E40+'6-10-22'!M40</f>
        <v>0</v>
      </c>
      <c r="N40" s="27">
        <f>M40/C40</f>
        <v>0</v>
      </c>
      <c r="O40" s="35">
        <f>J40+'6-10-22'!O40</f>
        <v>0</v>
      </c>
      <c r="P40" s="26" t="e">
        <f>M40/O40</f>
        <v>#DIV/0!</v>
      </c>
    </row>
    <row r="41" spans="1:16" ht="15.6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27"/>
      <c r="O41" s="3"/>
      <c r="P41" s="3"/>
    </row>
    <row r="42" spans="1:16" ht="15.6" x14ac:dyDescent="0.3">
      <c r="A42" s="3"/>
      <c r="B42" s="8" t="s">
        <v>113</v>
      </c>
      <c r="C42" s="8" t="s">
        <v>52</v>
      </c>
      <c r="D42" s="8"/>
      <c r="E42" s="8"/>
      <c r="F42" s="8"/>
      <c r="G42" s="35"/>
      <c r="H42" s="8"/>
      <c r="I42" s="16"/>
      <c r="J42" s="35">
        <f>F42*G42+H42*I42</f>
        <v>0</v>
      </c>
      <c r="K42" s="16" t="e">
        <f>E42/(J42)</f>
        <v>#DIV/0!</v>
      </c>
      <c r="L42" s="3"/>
      <c r="M42" s="26">
        <f>E42+'6-10-22'!M42</f>
        <v>0</v>
      </c>
      <c r="N42" s="53" t="e">
        <f>M42/C42</f>
        <v>#VALUE!</v>
      </c>
      <c r="O42" s="35">
        <f>J42+'6-10-22'!O42</f>
        <v>0</v>
      </c>
      <c r="P42" s="26" t="e">
        <f>M42/O42</f>
        <v>#DIV/0!</v>
      </c>
    </row>
    <row r="43" spans="1:16" ht="15.6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27"/>
      <c r="O43" s="3"/>
      <c r="P43" s="3"/>
    </row>
    <row r="44" spans="1:16" ht="15.6" x14ac:dyDescent="0.3">
      <c r="A44" s="3"/>
      <c r="B44" s="8" t="s">
        <v>114</v>
      </c>
      <c r="C44" s="8" t="s">
        <v>52</v>
      </c>
      <c r="D44" s="8"/>
      <c r="E44" s="8"/>
      <c r="F44" s="8"/>
      <c r="G44" s="35"/>
      <c r="H44" s="8"/>
      <c r="I44" s="16"/>
      <c r="J44" s="35">
        <f>F44*G44+H44*I44</f>
        <v>0</v>
      </c>
      <c r="K44" s="16" t="e">
        <f>E44/(J44)</f>
        <v>#DIV/0!</v>
      </c>
      <c r="L44" s="3"/>
      <c r="M44" s="26" t="e">
        <f>E44+'6-10-22'!M44</f>
        <v>#VALUE!</v>
      </c>
      <c r="N44" s="53" t="e">
        <f>M44/C44</f>
        <v>#VALUE!</v>
      </c>
      <c r="O44" s="35">
        <f>J44+'6-10-22'!O44</f>
        <v>99</v>
      </c>
      <c r="P44" s="26" t="e">
        <f>M44/O44</f>
        <v>#VALUE!</v>
      </c>
    </row>
    <row r="45" spans="1:16" ht="15.6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27"/>
      <c r="O45" s="3"/>
      <c r="P45" s="3"/>
    </row>
    <row r="46" spans="1:16" ht="15.6" x14ac:dyDescent="0.3">
      <c r="A46" s="3"/>
      <c r="B46" s="8" t="s">
        <v>75</v>
      </c>
      <c r="C46" s="8"/>
      <c r="D46" s="8" t="s">
        <v>52</v>
      </c>
      <c r="E46" s="8"/>
      <c r="F46" s="8"/>
      <c r="G46" s="35"/>
      <c r="H46" s="8"/>
      <c r="I46" s="16"/>
      <c r="J46" s="35">
        <f>F46*G46+H46*I46</f>
        <v>0</v>
      </c>
      <c r="K46" s="16" t="e">
        <f>E46/(J46)</f>
        <v>#DIV/0!</v>
      </c>
      <c r="L46" s="3"/>
      <c r="M46" s="26">
        <f>E46+'6-10-22'!M46</f>
        <v>0</v>
      </c>
      <c r="N46" s="53" t="e">
        <f>M46/C46</f>
        <v>#DIV/0!</v>
      </c>
      <c r="O46" s="35">
        <f>J46+'6-10-22'!O46</f>
        <v>225.75</v>
      </c>
      <c r="P46" s="26">
        <f>M46/O46</f>
        <v>0</v>
      </c>
    </row>
    <row r="47" spans="1:16" ht="15.6" x14ac:dyDescent="0.3">
      <c r="A47" s="3"/>
      <c r="B47" s="3" t="s">
        <v>27</v>
      </c>
      <c r="C47" s="3"/>
      <c r="D47" s="3" t="s">
        <v>52</v>
      </c>
      <c r="E47" s="3"/>
      <c r="F47" s="3"/>
      <c r="G47" s="3"/>
      <c r="H47" s="30"/>
      <c r="I47" s="4"/>
      <c r="J47" s="3">
        <f>J20+J22+J24+J26+J28+J30+J32+J34+J36+J38+J40+J42+J44+J46</f>
        <v>72</v>
      </c>
      <c r="K47" s="3"/>
      <c r="L47" s="3"/>
      <c r="M47" s="3"/>
      <c r="N47" s="3"/>
      <c r="O47" s="3">
        <f>O20+O22+O24+O26+O28+O30+O32+O34+O36+O38+O40+O42+O44+O46</f>
        <v>2055</v>
      </c>
      <c r="P47" s="3"/>
    </row>
    <row r="48" spans="1:16" ht="15.6" x14ac:dyDescent="0.3">
      <c r="A48" s="3"/>
      <c r="B48" s="3"/>
      <c r="C48" s="3"/>
      <c r="D48" s="3"/>
      <c r="E48" s="3"/>
      <c r="F48" s="3"/>
      <c r="G48" s="3"/>
      <c r="H48" s="3"/>
      <c r="I48" s="4"/>
      <c r="J48" s="3"/>
      <c r="K48" s="3"/>
      <c r="L48" s="3"/>
      <c r="M48" s="3"/>
      <c r="N48" s="3"/>
      <c r="O48" s="3"/>
      <c r="P48" s="3"/>
    </row>
    <row r="49" spans="1:16" ht="15.6" x14ac:dyDescent="0.3">
      <c r="A49" s="3"/>
      <c r="B49" s="3" t="s">
        <v>28</v>
      </c>
      <c r="C49" s="3" t="s">
        <v>156</v>
      </c>
      <c r="D49" s="3"/>
      <c r="E49" s="3"/>
      <c r="F49" s="3"/>
      <c r="G49" s="3"/>
      <c r="H49" s="3"/>
      <c r="I49" s="4"/>
      <c r="J49" s="3"/>
      <c r="K49" s="3"/>
      <c r="L49" s="3"/>
      <c r="M49" s="3"/>
      <c r="N49" s="3"/>
      <c r="O49" s="3"/>
      <c r="P49" s="3"/>
    </row>
    <row r="50" spans="1:16" ht="15.6" x14ac:dyDescent="0.3">
      <c r="C50" s="33"/>
    </row>
    <row r="51" spans="1:16" ht="15.6" x14ac:dyDescent="0.3">
      <c r="B51" s="3" t="s">
        <v>32</v>
      </c>
      <c r="C51" s="33" t="s">
        <v>154</v>
      </c>
    </row>
    <row r="52" spans="1:16" ht="15.6" x14ac:dyDescent="0.3">
      <c r="C52" s="33"/>
    </row>
    <row r="53" spans="1:16" ht="15.6" x14ac:dyDescent="0.3">
      <c r="B53" s="3" t="s">
        <v>33</v>
      </c>
      <c r="C53" s="3" t="s">
        <v>155</v>
      </c>
    </row>
    <row r="54" spans="1:16" ht="15.6" x14ac:dyDescent="0.3">
      <c r="C54" s="33"/>
    </row>
    <row r="55" spans="1:16" ht="15.6" x14ac:dyDescent="0.3">
      <c r="C55" s="33" t="s">
        <v>52</v>
      </c>
    </row>
    <row r="57" spans="1:16" x14ac:dyDescent="0.3">
      <c r="C57" t="s">
        <v>52</v>
      </c>
      <c r="D57" t="s">
        <v>52</v>
      </c>
    </row>
    <row r="58" spans="1:16" x14ac:dyDescent="0.3">
      <c r="C58" t="s">
        <v>52</v>
      </c>
      <c r="D58" t="s">
        <v>52</v>
      </c>
    </row>
  </sheetData>
  <mergeCells count="2">
    <mergeCell ref="A1:G1"/>
    <mergeCell ref="H7:I7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036ED-D4F6-4E32-B562-8BF44BDEE2BA}">
  <dimension ref="A1:P58"/>
  <sheetViews>
    <sheetView topLeftCell="A22" zoomScale="85" zoomScaleNormal="85" workbookViewId="0">
      <selection activeCell="G39" sqref="G39"/>
    </sheetView>
  </sheetViews>
  <sheetFormatPr defaultRowHeight="14.4" x14ac:dyDescent="0.3"/>
  <cols>
    <col min="1" max="1" width="11.33203125" customWidth="1"/>
    <col min="2" max="2" width="29.33203125" customWidth="1"/>
    <col min="3" max="3" width="22.109375" customWidth="1"/>
    <col min="4" max="4" width="14.88671875" customWidth="1"/>
    <col min="5" max="5" width="16.6640625" customWidth="1"/>
    <col min="6" max="6" width="17.44140625" customWidth="1"/>
    <col min="8" max="8" width="20.44140625" customWidth="1"/>
    <col min="13" max="13" width="10.6640625" customWidth="1"/>
    <col min="14" max="14" width="10" bestFit="1" customWidth="1"/>
    <col min="15" max="15" width="10.6640625" customWidth="1"/>
  </cols>
  <sheetData>
    <row r="1" spans="1:16" ht="18" x14ac:dyDescent="0.35">
      <c r="A1" s="66" t="s">
        <v>0</v>
      </c>
      <c r="B1" s="66"/>
      <c r="C1" s="66"/>
      <c r="D1" s="66"/>
      <c r="E1" s="66"/>
      <c r="F1" s="66"/>
      <c r="G1" s="66"/>
      <c r="H1" s="1"/>
      <c r="I1" s="2"/>
      <c r="J1" s="1"/>
      <c r="K1" s="1"/>
      <c r="L1" s="1"/>
      <c r="M1" s="1"/>
      <c r="N1" s="1"/>
      <c r="O1" s="1"/>
      <c r="P1" s="1"/>
    </row>
    <row r="2" spans="1:16" ht="15.6" x14ac:dyDescent="0.3">
      <c r="A2" s="3"/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</row>
    <row r="3" spans="1:16" ht="15.6" x14ac:dyDescent="0.3">
      <c r="A3" s="3"/>
      <c r="B3" s="5" t="s">
        <v>1</v>
      </c>
      <c r="C3" s="6" t="s">
        <v>43</v>
      </c>
      <c r="D3" s="7"/>
      <c r="E3" s="3"/>
      <c r="F3" s="5" t="s">
        <v>2</v>
      </c>
      <c r="G3" s="8">
        <v>4355</v>
      </c>
      <c r="H3" s="5" t="s">
        <v>41</v>
      </c>
      <c r="I3" s="36">
        <v>49</v>
      </c>
      <c r="J3" s="3"/>
      <c r="K3" s="3"/>
      <c r="L3" s="3"/>
      <c r="M3" s="3"/>
      <c r="N3" s="3"/>
      <c r="O3" s="3"/>
      <c r="P3" s="3"/>
    </row>
    <row r="4" spans="1:16" ht="15.6" x14ac:dyDescent="0.3">
      <c r="A4" s="3"/>
      <c r="B4" s="5" t="s">
        <v>3</v>
      </c>
      <c r="C4" s="37">
        <v>300155</v>
      </c>
      <c r="D4" s="7"/>
      <c r="E4" s="3"/>
      <c r="F4" s="5" t="s">
        <v>4</v>
      </c>
      <c r="G4" s="8">
        <f>J16+'6-9-22'!G4</f>
        <v>1983</v>
      </c>
      <c r="H4" s="34" t="s">
        <v>42</v>
      </c>
      <c r="I4" s="4">
        <v>26</v>
      </c>
      <c r="J4" s="3"/>
      <c r="K4" s="3"/>
      <c r="L4" s="3"/>
      <c r="M4" s="3"/>
      <c r="N4" s="3"/>
      <c r="O4" s="3"/>
      <c r="P4" s="3"/>
    </row>
    <row r="5" spans="1:16" ht="15.6" x14ac:dyDescent="0.3">
      <c r="A5" s="3"/>
      <c r="B5" s="5" t="s">
        <v>5</v>
      </c>
      <c r="C5" s="38">
        <v>44722</v>
      </c>
      <c r="D5" s="3"/>
      <c r="E5" s="3"/>
      <c r="F5" s="3"/>
      <c r="G5" s="3"/>
      <c r="H5" s="3"/>
      <c r="I5" s="4"/>
      <c r="J5" s="3"/>
      <c r="K5" s="3"/>
      <c r="L5" s="3"/>
      <c r="M5" s="3"/>
      <c r="N5" s="3"/>
      <c r="O5" s="3"/>
      <c r="P5" s="3"/>
    </row>
    <row r="6" spans="1:16" ht="15.6" x14ac:dyDescent="0.3">
      <c r="A6" s="3"/>
      <c r="B6" s="5"/>
      <c r="C6" s="3"/>
      <c r="D6" s="3"/>
      <c r="E6" s="3"/>
      <c r="F6" s="3"/>
      <c r="G6" s="3"/>
      <c r="H6" s="3"/>
      <c r="I6" s="4"/>
      <c r="J6" s="3"/>
      <c r="K6" s="3"/>
      <c r="L6" s="3"/>
      <c r="M6" s="3"/>
      <c r="N6" s="3"/>
      <c r="O6" s="3"/>
      <c r="P6" s="3"/>
    </row>
    <row r="7" spans="1:16" ht="15.6" x14ac:dyDescent="0.3">
      <c r="A7" s="10" t="s">
        <v>6</v>
      </c>
      <c r="B7" s="11"/>
      <c r="C7" s="12" t="s">
        <v>7</v>
      </c>
      <c r="D7" s="3"/>
      <c r="E7" s="12" t="s">
        <v>8</v>
      </c>
      <c r="F7" s="12" t="s">
        <v>34</v>
      </c>
      <c r="G7" s="3"/>
      <c r="H7" s="67" t="s">
        <v>7</v>
      </c>
      <c r="I7" s="67"/>
      <c r="J7" s="12" t="s">
        <v>8</v>
      </c>
      <c r="K7" s="3"/>
      <c r="L7" s="3"/>
      <c r="M7" s="3"/>
      <c r="N7" s="3"/>
      <c r="O7" s="3"/>
      <c r="P7" s="3"/>
    </row>
    <row r="8" spans="1:16" ht="15.6" x14ac:dyDescent="0.3">
      <c r="A8" s="13">
        <v>1</v>
      </c>
      <c r="B8" s="5" t="s">
        <v>9</v>
      </c>
      <c r="C8" s="14" t="s">
        <v>35</v>
      </c>
      <c r="D8" s="15"/>
      <c r="E8" s="35">
        <v>9</v>
      </c>
      <c r="F8" s="16">
        <v>66</v>
      </c>
      <c r="G8" s="11">
        <v>9</v>
      </c>
      <c r="H8" s="14" t="s">
        <v>40</v>
      </c>
      <c r="I8" s="8"/>
      <c r="J8" s="39">
        <v>9</v>
      </c>
      <c r="K8" s="3"/>
      <c r="L8" s="3"/>
      <c r="M8" s="3"/>
      <c r="N8" s="3"/>
      <c r="O8" s="3"/>
      <c r="P8" s="3"/>
    </row>
    <row r="9" spans="1:16" ht="15.6" x14ac:dyDescent="0.3">
      <c r="A9" s="13">
        <v>2</v>
      </c>
      <c r="B9" s="5" t="s">
        <v>10</v>
      </c>
      <c r="C9" s="14" t="s">
        <v>37</v>
      </c>
      <c r="D9" s="8"/>
      <c r="E9" s="35">
        <v>9</v>
      </c>
      <c r="F9" s="16"/>
      <c r="G9" s="11">
        <v>10</v>
      </c>
      <c r="H9" s="14"/>
      <c r="I9" s="8"/>
      <c r="J9" s="39"/>
      <c r="K9" s="3"/>
      <c r="L9" s="3"/>
      <c r="M9" s="3"/>
      <c r="N9" s="3"/>
      <c r="O9" s="3"/>
      <c r="P9" s="3"/>
    </row>
    <row r="10" spans="1:16" ht="15.6" x14ac:dyDescent="0.3">
      <c r="A10" s="13">
        <v>3</v>
      </c>
      <c r="B10" s="5" t="s">
        <v>11</v>
      </c>
      <c r="C10" s="14" t="s">
        <v>36</v>
      </c>
      <c r="D10" s="8"/>
      <c r="E10" s="35">
        <v>9</v>
      </c>
      <c r="F10" s="16">
        <v>78</v>
      </c>
      <c r="G10" s="11">
        <v>11</v>
      </c>
      <c r="H10" s="3"/>
      <c r="I10" s="8"/>
      <c r="J10" s="39"/>
      <c r="K10" s="3"/>
      <c r="L10" s="3"/>
      <c r="M10" s="3"/>
      <c r="N10" s="3"/>
      <c r="O10" s="3"/>
      <c r="P10" s="3"/>
    </row>
    <row r="11" spans="1:16" ht="15.6" x14ac:dyDescent="0.3">
      <c r="A11" s="13">
        <v>4</v>
      </c>
      <c r="B11" s="5" t="s">
        <v>12</v>
      </c>
      <c r="C11" s="14" t="s">
        <v>29</v>
      </c>
      <c r="D11" s="8"/>
      <c r="E11" s="35">
        <v>9</v>
      </c>
      <c r="F11" s="16"/>
      <c r="G11" s="11">
        <v>12</v>
      </c>
      <c r="H11" s="3"/>
      <c r="I11" s="8"/>
      <c r="J11" s="39"/>
      <c r="K11" s="3"/>
      <c r="L11" s="3"/>
      <c r="M11" s="3"/>
      <c r="N11" s="3"/>
      <c r="O11" s="3"/>
      <c r="P11" s="3"/>
    </row>
    <row r="12" spans="1:16" ht="15.6" x14ac:dyDescent="0.3">
      <c r="A12" s="13">
        <v>5</v>
      </c>
      <c r="B12" s="3"/>
      <c r="C12" s="31" t="s">
        <v>30</v>
      </c>
      <c r="D12" s="8"/>
      <c r="E12" s="35">
        <v>9</v>
      </c>
      <c r="F12" s="16"/>
      <c r="G12" s="11">
        <v>13</v>
      </c>
      <c r="H12" s="3"/>
      <c r="I12" s="8"/>
      <c r="J12" s="39"/>
      <c r="K12" s="3"/>
      <c r="L12" s="3"/>
      <c r="M12" s="3"/>
      <c r="N12" s="3"/>
      <c r="O12" s="3"/>
      <c r="P12" s="3"/>
    </row>
    <row r="13" spans="1:16" ht="15.6" x14ac:dyDescent="0.3">
      <c r="A13" s="13">
        <v>6</v>
      </c>
      <c r="B13" s="3"/>
      <c r="C13" s="14" t="s">
        <v>31</v>
      </c>
      <c r="D13" s="8"/>
      <c r="E13" s="35">
        <v>9</v>
      </c>
      <c r="F13" s="16">
        <v>74</v>
      </c>
      <c r="G13" s="11">
        <v>14</v>
      </c>
      <c r="H13" s="18"/>
      <c r="I13" s="8"/>
      <c r="J13" s="39"/>
      <c r="K13" s="3"/>
      <c r="L13" s="3"/>
      <c r="M13" s="3"/>
      <c r="N13" s="3"/>
      <c r="O13" s="3"/>
      <c r="P13" s="3"/>
    </row>
    <row r="14" spans="1:16" ht="15.6" x14ac:dyDescent="0.3">
      <c r="A14" s="13">
        <v>7</v>
      </c>
      <c r="B14" s="5" t="s">
        <v>52</v>
      </c>
      <c r="C14" s="14" t="s">
        <v>39</v>
      </c>
      <c r="D14" s="8"/>
      <c r="E14" s="35">
        <v>9</v>
      </c>
      <c r="F14" s="16"/>
      <c r="G14" s="11">
        <v>15</v>
      </c>
      <c r="H14" s="3"/>
      <c r="I14" s="8"/>
      <c r="J14" s="39"/>
      <c r="K14" s="3"/>
      <c r="L14" s="3"/>
      <c r="M14" s="3"/>
      <c r="N14" s="3"/>
      <c r="O14" s="3"/>
      <c r="P14" s="3"/>
    </row>
    <row r="15" spans="1:16" ht="15.6" x14ac:dyDescent="0.3">
      <c r="A15" s="13">
        <v>8</v>
      </c>
      <c r="B15" s="3"/>
      <c r="C15" s="14" t="s">
        <v>38</v>
      </c>
      <c r="D15" s="8"/>
      <c r="E15" s="35">
        <v>9</v>
      </c>
      <c r="F15" s="16"/>
      <c r="G15" s="11">
        <v>16</v>
      </c>
      <c r="H15" s="3"/>
      <c r="I15" s="8"/>
      <c r="J15" s="39"/>
      <c r="K15" s="3"/>
      <c r="L15" s="3"/>
      <c r="M15" s="3"/>
      <c r="N15" s="3"/>
      <c r="O15" s="3"/>
      <c r="P15" s="3"/>
    </row>
    <row r="16" spans="1:16" ht="15.6" x14ac:dyDescent="0.3">
      <c r="A16" s="3"/>
      <c r="B16" s="3"/>
      <c r="C16" s="3"/>
      <c r="D16" s="3"/>
      <c r="E16" s="3"/>
      <c r="F16" s="3"/>
      <c r="G16" s="13"/>
      <c r="H16" s="7" t="s">
        <v>13</v>
      </c>
      <c r="I16" s="3"/>
      <c r="J16" s="8">
        <f>SUM(E8:E15)+SUM(J8:J15)</f>
        <v>81</v>
      </c>
      <c r="K16" s="3"/>
      <c r="L16" s="3"/>
      <c r="M16" s="3"/>
      <c r="N16" s="3"/>
      <c r="O16" s="3"/>
      <c r="P16" s="3"/>
    </row>
    <row r="17" spans="1:16" ht="15.6" x14ac:dyDescent="0.3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  <c r="L17" s="3"/>
      <c r="M17" s="3"/>
      <c r="N17" s="3"/>
      <c r="O17" s="3"/>
      <c r="P17" s="3"/>
    </row>
    <row r="18" spans="1:16" ht="93.6" x14ac:dyDescent="0.3">
      <c r="A18" s="19"/>
      <c r="B18" s="20" t="s">
        <v>14</v>
      </c>
      <c r="C18" s="21" t="s">
        <v>15</v>
      </c>
      <c r="D18" s="22" t="s">
        <v>16</v>
      </c>
      <c r="E18" s="22" t="s">
        <v>17</v>
      </c>
      <c r="F18" s="22" t="s">
        <v>18</v>
      </c>
      <c r="G18" s="22" t="s">
        <v>19</v>
      </c>
      <c r="H18" s="22" t="s">
        <v>18</v>
      </c>
      <c r="I18" s="22" t="s">
        <v>19</v>
      </c>
      <c r="J18" s="22" t="s">
        <v>20</v>
      </c>
      <c r="K18" s="23" t="s">
        <v>21</v>
      </c>
      <c r="L18" s="24"/>
      <c r="M18" s="23" t="s">
        <v>22</v>
      </c>
      <c r="N18" s="23" t="s">
        <v>23</v>
      </c>
      <c r="O18" s="23" t="s">
        <v>24</v>
      </c>
      <c r="P18" s="23" t="s">
        <v>25</v>
      </c>
    </row>
    <row r="19" spans="1:16" ht="15.6" x14ac:dyDescent="0.3">
      <c r="A19" s="19"/>
      <c r="B19" s="19"/>
      <c r="C19" s="24"/>
      <c r="D19" s="24"/>
      <c r="E19" s="24"/>
      <c r="F19" s="24"/>
      <c r="G19" s="24"/>
      <c r="H19" s="24"/>
      <c r="I19" s="24"/>
      <c r="J19" s="24"/>
      <c r="K19" s="25"/>
      <c r="L19" s="24"/>
      <c r="M19" s="3"/>
      <c r="N19" s="3"/>
      <c r="O19" s="3"/>
      <c r="P19" s="3"/>
    </row>
    <row r="20" spans="1:16" ht="15.6" x14ac:dyDescent="0.3">
      <c r="A20" s="3"/>
      <c r="B20" s="8" t="s">
        <v>26</v>
      </c>
      <c r="C20" s="8">
        <v>1</v>
      </c>
      <c r="D20" s="8">
        <v>1</v>
      </c>
      <c r="E20" s="8"/>
      <c r="F20" s="8"/>
      <c r="G20" s="35">
        <v>0</v>
      </c>
      <c r="H20" s="8"/>
      <c r="I20" s="16"/>
      <c r="J20" s="35">
        <f>F20*G20+H20*I20</f>
        <v>0</v>
      </c>
      <c r="K20" s="16" t="e">
        <f>E20/(J20)</f>
        <v>#DIV/0!</v>
      </c>
      <c r="L20" s="3"/>
      <c r="M20" s="26">
        <v>0</v>
      </c>
      <c r="N20" s="27">
        <f>M20/C20</f>
        <v>0</v>
      </c>
      <c r="O20" s="35">
        <f>J20+'6-9-22'!O20</f>
        <v>108</v>
      </c>
      <c r="P20" s="26">
        <f>M20/O20</f>
        <v>0</v>
      </c>
    </row>
    <row r="21" spans="1:16" ht="15.6" x14ac:dyDescent="0.3">
      <c r="A21" s="3"/>
      <c r="B21" s="3"/>
      <c r="C21" s="3"/>
      <c r="D21" s="3"/>
      <c r="E21" s="3"/>
      <c r="F21" s="3"/>
      <c r="G21" s="40"/>
      <c r="H21" s="3"/>
      <c r="I21" s="28"/>
      <c r="J21" s="40"/>
      <c r="K21" s="28"/>
      <c r="L21" s="3"/>
      <c r="M21" s="29"/>
      <c r="N21" s="3"/>
      <c r="O21" s="3"/>
      <c r="P21" s="3"/>
    </row>
    <row r="22" spans="1:16" ht="15.6" x14ac:dyDescent="0.3">
      <c r="A22" s="3"/>
      <c r="B22" s="8" t="s">
        <v>53</v>
      </c>
      <c r="C22" s="8">
        <v>125400</v>
      </c>
      <c r="D22" s="41"/>
      <c r="E22" s="41"/>
      <c r="F22" s="8"/>
      <c r="G22" s="35"/>
      <c r="H22" s="8"/>
      <c r="I22" s="16"/>
      <c r="J22" s="35">
        <f>F22*G22+H22*I22</f>
        <v>0</v>
      </c>
      <c r="K22" s="16" t="e">
        <f>E22/(J22)</f>
        <v>#DIV/0!</v>
      </c>
      <c r="L22" s="3"/>
      <c r="M22" s="26">
        <f>E22+'6-9-22'!M22</f>
        <v>125400</v>
      </c>
      <c r="N22" s="27">
        <f>M22/C22</f>
        <v>1</v>
      </c>
      <c r="O22" s="35">
        <f>J22+'6-9-22'!O22</f>
        <v>679.75</v>
      </c>
      <c r="P22" s="26">
        <f>M22/O22</f>
        <v>184.47958808385437</v>
      </c>
    </row>
    <row r="23" spans="1:16" ht="15.6" x14ac:dyDescent="0.3">
      <c r="A23" s="3"/>
      <c r="B23" s="3"/>
      <c r="C23" s="3"/>
      <c r="D23" s="3"/>
      <c r="E23" s="3"/>
      <c r="F23" s="3"/>
      <c r="G23" s="40"/>
      <c r="H23" s="3"/>
      <c r="I23" s="28"/>
      <c r="J23" s="40"/>
      <c r="K23" s="28"/>
      <c r="L23" s="3"/>
      <c r="M23" s="29"/>
      <c r="N23" s="3"/>
      <c r="O23" s="36"/>
      <c r="P23" s="29"/>
    </row>
    <row r="24" spans="1:16" ht="15.6" x14ac:dyDescent="0.3">
      <c r="A24" s="3"/>
      <c r="B24" s="8" t="s">
        <v>54</v>
      </c>
      <c r="C24" s="8">
        <v>125400</v>
      </c>
      <c r="D24" s="8"/>
      <c r="E24" s="8"/>
      <c r="F24" s="8"/>
      <c r="G24" s="35"/>
      <c r="H24" s="8"/>
      <c r="I24" s="16"/>
      <c r="J24" s="35">
        <f>F24*G24+H24*I24</f>
        <v>0</v>
      </c>
      <c r="K24" s="16" t="e">
        <f>E24/(J24)</f>
        <v>#DIV/0!</v>
      </c>
      <c r="L24" s="3"/>
      <c r="M24" s="26">
        <f>E24+'6-9-22'!M24</f>
        <v>125400</v>
      </c>
      <c r="N24" s="27">
        <f>M24/C24</f>
        <v>1</v>
      </c>
      <c r="O24" s="35">
        <f>J24+'6-9-22'!O24</f>
        <v>449.75</v>
      </c>
      <c r="P24" s="26">
        <f>M24/O24</f>
        <v>278.82156753752082</v>
      </c>
    </row>
    <row r="25" spans="1:16" ht="15.6" x14ac:dyDescent="0.3">
      <c r="A25" s="3"/>
      <c r="B25" s="3"/>
      <c r="C25" s="3"/>
      <c r="D25" s="3"/>
      <c r="E25" s="3"/>
      <c r="F25" s="3"/>
      <c r="G25" s="36"/>
      <c r="H25" s="3"/>
      <c r="I25" s="4"/>
      <c r="J25" s="36"/>
      <c r="K25" s="4"/>
      <c r="L25" s="3"/>
      <c r="M25" s="29"/>
      <c r="N25" s="3"/>
      <c r="O25" s="3"/>
      <c r="P25" s="3"/>
    </row>
    <row r="26" spans="1:16" ht="15.6" x14ac:dyDescent="0.3">
      <c r="A26" s="3"/>
      <c r="B26" s="8" t="s">
        <v>44</v>
      </c>
      <c r="C26" s="8">
        <v>3040</v>
      </c>
      <c r="D26" s="8"/>
      <c r="E26" s="8">
        <v>390</v>
      </c>
      <c r="F26" s="8">
        <v>3</v>
      </c>
      <c r="G26" s="35">
        <v>6</v>
      </c>
      <c r="H26" s="8"/>
      <c r="I26" s="16"/>
      <c r="J26" s="35">
        <f>F26*G26+H26*I26</f>
        <v>18</v>
      </c>
      <c r="K26" s="16">
        <f>E26/(J26)</f>
        <v>21.666666666666668</v>
      </c>
      <c r="L26" s="3"/>
      <c r="M26" s="26">
        <f>E26+'6-9-22'!M26</f>
        <v>1516</v>
      </c>
      <c r="N26" s="27">
        <f>M26/C26</f>
        <v>0.49868421052631579</v>
      </c>
      <c r="O26" s="35">
        <f>J26+'6-9-22'!O26</f>
        <v>80</v>
      </c>
      <c r="P26" s="26">
        <f>M26/O26</f>
        <v>18.95</v>
      </c>
    </row>
    <row r="27" spans="1:16" ht="15.6" x14ac:dyDescent="0.3">
      <c r="A27" s="3"/>
      <c r="B27" s="3"/>
      <c r="C27" s="3"/>
      <c r="D27" s="3"/>
      <c r="E27" s="3"/>
      <c r="F27" s="3"/>
      <c r="G27" s="36"/>
      <c r="H27" s="3"/>
      <c r="I27" s="4"/>
      <c r="J27" s="36"/>
      <c r="K27" s="4"/>
      <c r="L27" s="3"/>
      <c r="M27" s="29"/>
      <c r="N27" s="3"/>
      <c r="O27" s="3"/>
      <c r="P27" s="3"/>
    </row>
    <row r="28" spans="1:16" ht="15.6" x14ac:dyDescent="0.3">
      <c r="A28" s="3"/>
      <c r="B28" s="8" t="s">
        <v>45</v>
      </c>
      <c r="C28" s="8">
        <v>3040</v>
      </c>
      <c r="D28" s="8"/>
      <c r="E28" s="8">
        <v>390</v>
      </c>
      <c r="F28" s="8">
        <v>6</v>
      </c>
      <c r="G28" s="35">
        <v>6</v>
      </c>
      <c r="H28" s="8"/>
      <c r="I28" s="16"/>
      <c r="J28" s="35">
        <f>F28*G28+H28*I28</f>
        <v>36</v>
      </c>
      <c r="K28" s="16">
        <f>E28/(J28)</f>
        <v>10.833333333333334</v>
      </c>
      <c r="L28" s="3"/>
      <c r="M28" s="26">
        <f>E28+'6-9-22'!M28</f>
        <v>853</v>
      </c>
      <c r="N28" s="27">
        <f>M28/C28</f>
        <v>0.28059210526315792</v>
      </c>
      <c r="O28" s="35">
        <f>J28+'6-9-22'!O28</f>
        <v>82</v>
      </c>
      <c r="P28" s="26">
        <f>M28/O28</f>
        <v>10.402439024390244</v>
      </c>
    </row>
    <row r="29" spans="1:16" ht="15.6" x14ac:dyDescent="0.3">
      <c r="A29" s="3"/>
      <c r="B29" s="3"/>
      <c r="C29" s="3"/>
      <c r="D29" s="3"/>
      <c r="E29" s="3"/>
      <c r="F29" s="3"/>
      <c r="G29" s="36"/>
      <c r="H29" s="3"/>
      <c r="I29" s="4"/>
      <c r="J29" s="36"/>
      <c r="K29" s="4"/>
      <c r="L29" s="3"/>
      <c r="M29" s="29"/>
      <c r="N29" s="3"/>
      <c r="O29" s="3"/>
      <c r="P29" s="3"/>
    </row>
    <row r="30" spans="1:16" ht="15.6" x14ac:dyDescent="0.3">
      <c r="A30" s="3"/>
      <c r="B30" s="8" t="s">
        <v>47</v>
      </c>
      <c r="C30" s="8">
        <v>125400</v>
      </c>
      <c r="D30" s="8"/>
      <c r="E30" s="8"/>
      <c r="F30" s="8">
        <v>9</v>
      </c>
      <c r="G30" s="35">
        <v>3</v>
      </c>
      <c r="H30" s="8"/>
      <c r="I30" s="35"/>
      <c r="J30" s="35">
        <f>F30*G30+H30*I30</f>
        <v>27</v>
      </c>
      <c r="K30" s="16">
        <f>E30/(J30)</f>
        <v>0</v>
      </c>
      <c r="L30" s="3"/>
      <c r="M30" s="26">
        <f>E30+'6-9-22'!M30</f>
        <v>0</v>
      </c>
      <c r="N30" s="27">
        <f>M30/C30</f>
        <v>0</v>
      </c>
      <c r="O30" s="35">
        <f>J30+'6-9-22'!O30</f>
        <v>209.25</v>
      </c>
      <c r="P30" s="26">
        <f>M30/O30</f>
        <v>0</v>
      </c>
    </row>
    <row r="31" spans="1:16" ht="15.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7"/>
      <c r="O31" s="3"/>
      <c r="P31" s="3"/>
    </row>
    <row r="32" spans="1:16" ht="15.6" x14ac:dyDescent="0.3">
      <c r="A32" s="3"/>
      <c r="B32" s="8" t="s">
        <v>46</v>
      </c>
      <c r="C32" s="8">
        <v>324</v>
      </c>
      <c r="D32" s="8"/>
      <c r="E32" s="8"/>
      <c r="F32" s="8"/>
      <c r="G32" s="35"/>
      <c r="H32" s="8"/>
      <c r="I32" s="16"/>
      <c r="J32" s="35">
        <f>F32*G32+H32*I32</f>
        <v>0</v>
      </c>
      <c r="K32" s="16" t="e">
        <f>E32/(J32)</f>
        <v>#DIV/0!</v>
      </c>
      <c r="L32" s="3"/>
      <c r="M32" s="26">
        <f>E32+'6-9-22'!M32</f>
        <v>0</v>
      </c>
      <c r="N32" s="27">
        <f>M32/C32</f>
        <v>0</v>
      </c>
      <c r="O32" s="35">
        <f>J32+'6-9-22'!O32</f>
        <v>0</v>
      </c>
      <c r="P32" s="26" t="e">
        <f>M32/O32</f>
        <v>#DIV/0!</v>
      </c>
    </row>
    <row r="33" spans="1:16" ht="15.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7"/>
      <c r="O33" s="3"/>
      <c r="P33" s="3"/>
    </row>
    <row r="34" spans="1:16" ht="15.6" x14ac:dyDescent="0.3">
      <c r="A34" s="3"/>
      <c r="B34" s="8" t="s">
        <v>48</v>
      </c>
      <c r="C34" s="8">
        <v>115000</v>
      </c>
      <c r="D34" s="8"/>
      <c r="E34" s="8"/>
      <c r="F34" s="8"/>
      <c r="G34" s="35"/>
      <c r="H34" s="8"/>
      <c r="I34" s="16"/>
      <c r="J34" s="35">
        <f>F34*G34+H34*I34</f>
        <v>0</v>
      </c>
      <c r="K34" s="16" t="e">
        <f>E34/(J34)</f>
        <v>#DIV/0!</v>
      </c>
      <c r="L34" s="3"/>
      <c r="M34" s="26">
        <f>E34+'6-9-22'!M34</f>
        <v>0</v>
      </c>
      <c r="N34" s="27">
        <f>M34/C34</f>
        <v>0</v>
      </c>
      <c r="O34" s="35">
        <f>J34+'6-9-22'!O34</f>
        <v>0</v>
      </c>
      <c r="P34" s="26" t="e">
        <f>M34/O34</f>
        <v>#DIV/0!</v>
      </c>
    </row>
    <row r="35" spans="1:16" ht="15.6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27"/>
      <c r="O35" s="3"/>
      <c r="P35" s="3"/>
    </row>
    <row r="36" spans="1:16" ht="15.6" x14ac:dyDescent="0.3">
      <c r="A36" s="3"/>
      <c r="B36" s="8" t="s">
        <v>49</v>
      </c>
      <c r="C36" s="8">
        <v>8</v>
      </c>
      <c r="D36" s="8"/>
      <c r="E36" s="8"/>
      <c r="F36" s="8"/>
      <c r="G36" s="35"/>
      <c r="H36" s="8"/>
      <c r="I36" s="16"/>
      <c r="J36" s="35">
        <f>F36*G36+H36*I36</f>
        <v>0</v>
      </c>
      <c r="K36" s="16" t="e">
        <f>E36/(J36)</f>
        <v>#DIV/0!</v>
      </c>
      <c r="L36" s="3"/>
      <c r="M36" s="26">
        <f>E36+'6-9-22'!M36</f>
        <v>0</v>
      </c>
      <c r="N36" s="27">
        <f>M36/C36</f>
        <v>0</v>
      </c>
      <c r="O36" s="35">
        <f>J36+'6-9-22'!O36</f>
        <v>24</v>
      </c>
      <c r="P36" s="26">
        <f>M36/O36</f>
        <v>0</v>
      </c>
    </row>
    <row r="37" spans="1:16" ht="15.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27"/>
      <c r="O37" s="3"/>
      <c r="P37" s="3"/>
    </row>
    <row r="38" spans="1:16" ht="15.6" x14ac:dyDescent="0.3">
      <c r="A38" s="3"/>
      <c r="B38" s="8" t="s">
        <v>50</v>
      </c>
      <c r="C38" s="8">
        <f>2760+480</f>
        <v>3240</v>
      </c>
      <c r="D38" s="8"/>
      <c r="E38" s="8"/>
      <c r="F38" s="8"/>
      <c r="G38" s="35"/>
      <c r="H38" s="8"/>
      <c r="I38" s="16"/>
      <c r="J38" s="35">
        <f>F38*G38+H38*I38</f>
        <v>0</v>
      </c>
      <c r="K38" s="16" t="e">
        <f>E38/(J38)</f>
        <v>#DIV/0!</v>
      </c>
      <c r="L38" s="3"/>
      <c r="M38" s="26">
        <f>E38+'6-9-22'!M38</f>
        <v>555</v>
      </c>
      <c r="N38" s="27">
        <f>M38/C38</f>
        <v>0.17129629629629631</v>
      </c>
      <c r="O38" s="35">
        <f>J38+'6-9-22'!O38</f>
        <v>25.5</v>
      </c>
      <c r="P38" s="26">
        <f>M38/O38</f>
        <v>21.764705882352942</v>
      </c>
    </row>
    <row r="39" spans="1:16" ht="15.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7"/>
      <c r="O39" s="3"/>
      <c r="P39" s="3"/>
    </row>
    <row r="40" spans="1:16" ht="15.6" x14ac:dyDescent="0.3">
      <c r="A40" s="3"/>
      <c r="B40" s="8" t="s">
        <v>115</v>
      </c>
      <c r="C40" s="8">
        <v>25</v>
      </c>
      <c r="D40" s="8"/>
      <c r="E40" s="8"/>
      <c r="F40" s="8"/>
      <c r="G40" s="35"/>
      <c r="H40" s="8"/>
      <c r="I40" s="16"/>
      <c r="J40" s="35">
        <f>F40*G40+H40*I40</f>
        <v>0</v>
      </c>
      <c r="K40" s="16" t="e">
        <f>E40/(J40)</f>
        <v>#DIV/0!</v>
      </c>
      <c r="L40" s="3"/>
      <c r="M40" s="26">
        <f>E40+'6-9-22'!M40</f>
        <v>0</v>
      </c>
      <c r="N40" s="27">
        <f>M40/C40</f>
        <v>0</v>
      </c>
      <c r="O40" s="35">
        <f>J40+'6-9-22'!O40</f>
        <v>0</v>
      </c>
      <c r="P40" s="26" t="e">
        <f>M40/O40</f>
        <v>#DIV/0!</v>
      </c>
    </row>
    <row r="41" spans="1:16" ht="15.6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27"/>
      <c r="O41" s="3"/>
      <c r="P41" s="3"/>
    </row>
    <row r="42" spans="1:16" ht="15.6" x14ac:dyDescent="0.3">
      <c r="A42" s="3"/>
      <c r="B42" s="8" t="s">
        <v>113</v>
      </c>
      <c r="C42" s="8" t="s">
        <v>52</v>
      </c>
      <c r="D42" s="8"/>
      <c r="E42" s="8"/>
      <c r="F42" s="8"/>
      <c r="G42" s="35"/>
      <c r="H42" s="8"/>
      <c r="I42" s="16"/>
      <c r="J42" s="35">
        <f>F42*G42+H42*I42</f>
        <v>0</v>
      </c>
      <c r="K42" s="16" t="e">
        <f>E42/(J42)</f>
        <v>#DIV/0!</v>
      </c>
      <c r="L42" s="3"/>
      <c r="M42" s="26">
        <f>E42+'6-9-22'!M42</f>
        <v>0</v>
      </c>
      <c r="N42" s="53" t="e">
        <f>M42/C42</f>
        <v>#VALUE!</v>
      </c>
      <c r="O42" s="35">
        <f>J42+'6-9-22'!O42</f>
        <v>0</v>
      </c>
      <c r="P42" s="26" t="e">
        <f>M42/O42</f>
        <v>#DIV/0!</v>
      </c>
    </row>
    <row r="43" spans="1:16" ht="15.6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27"/>
      <c r="O43" s="3"/>
      <c r="P43" s="3"/>
    </row>
    <row r="44" spans="1:16" ht="15.6" x14ac:dyDescent="0.3">
      <c r="A44" s="3"/>
      <c r="B44" s="8" t="s">
        <v>114</v>
      </c>
      <c r="C44" s="8" t="s">
        <v>52</v>
      </c>
      <c r="D44" s="8"/>
      <c r="E44" s="8"/>
      <c r="F44" s="8"/>
      <c r="G44" s="35"/>
      <c r="H44" s="8"/>
      <c r="I44" s="16"/>
      <c r="J44" s="35">
        <f>F44*G44+H44*I44</f>
        <v>0</v>
      </c>
      <c r="K44" s="16" t="e">
        <f>E44/(J44)</f>
        <v>#DIV/0!</v>
      </c>
      <c r="L44" s="3"/>
      <c r="M44" s="26" t="e">
        <f>E44+'6-9-22'!M44</f>
        <v>#VALUE!</v>
      </c>
      <c r="N44" s="53" t="e">
        <f>M44/C44</f>
        <v>#VALUE!</v>
      </c>
      <c r="O44" s="35">
        <f>J44+'6-9-22'!O44</f>
        <v>99</v>
      </c>
      <c r="P44" s="26" t="e">
        <f>M44/O44</f>
        <v>#VALUE!</v>
      </c>
    </row>
    <row r="45" spans="1:16" ht="15.6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27"/>
      <c r="O45" s="3"/>
      <c r="P45" s="3"/>
    </row>
    <row r="46" spans="1:16" ht="15.6" x14ac:dyDescent="0.3">
      <c r="A46" s="3"/>
      <c r="B46" s="8" t="s">
        <v>75</v>
      </c>
      <c r="C46" s="8"/>
      <c r="D46" s="8" t="s">
        <v>52</v>
      </c>
      <c r="E46" s="8"/>
      <c r="F46" s="8"/>
      <c r="G46" s="35"/>
      <c r="H46" s="8"/>
      <c r="I46" s="16"/>
      <c r="J46" s="35">
        <f>F46*G46+H46*I46</f>
        <v>0</v>
      </c>
      <c r="K46" s="16" t="e">
        <f>E46/(J46)</f>
        <v>#DIV/0!</v>
      </c>
      <c r="L46" s="3"/>
      <c r="M46" s="26">
        <f>E46+'6-9-22'!M46</f>
        <v>0</v>
      </c>
      <c r="N46" s="53" t="e">
        <f>M46/C46</f>
        <v>#DIV/0!</v>
      </c>
      <c r="O46" s="35">
        <f>J46+'6-9-22'!O46</f>
        <v>225.75</v>
      </c>
      <c r="P46" s="26">
        <f>M46/O46</f>
        <v>0</v>
      </c>
    </row>
    <row r="47" spans="1:16" ht="15.6" x14ac:dyDescent="0.3">
      <c r="A47" s="3"/>
      <c r="B47" s="3" t="s">
        <v>27</v>
      </c>
      <c r="C47" s="3"/>
      <c r="D47" s="3" t="s">
        <v>52</v>
      </c>
      <c r="E47" s="3"/>
      <c r="F47" s="3"/>
      <c r="G47" s="3"/>
      <c r="H47" s="30"/>
      <c r="I47" s="4"/>
      <c r="J47" s="3">
        <f>J20+J22+J24+J26+J28+J30+J32+J34+J36+J38+J40+J42+J44+J46</f>
        <v>81</v>
      </c>
      <c r="K47" s="3"/>
      <c r="L47" s="3"/>
      <c r="M47" s="3"/>
      <c r="N47" s="3"/>
      <c r="O47" s="3">
        <f>O20+O22+O24+O26+O28+O30+O32+O34+O36+O38+O40+O42+O44+O46</f>
        <v>1983</v>
      </c>
      <c r="P47" s="3"/>
    </row>
    <row r="48" spans="1:16" ht="15.6" x14ac:dyDescent="0.3">
      <c r="A48" s="3"/>
      <c r="B48" s="3"/>
      <c r="C48" s="3"/>
      <c r="D48" s="3"/>
      <c r="E48" s="3"/>
      <c r="F48" s="3"/>
      <c r="G48" s="3"/>
      <c r="H48" s="3"/>
      <c r="I48" s="4"/>
      <c r="J48" s="3"/>
      <c r="K48" s="3"/>
      <c r="L48" s="3"/>
      <c r="M48" s="3"/>
      <c r="N48" s="3"/>
      <c r="O48" s="3"/>
      <c r="P48" s="3"/>
    </row>
    <row r="49" spans="1:16" ht="15.6" x14ac:dyDescent="0.3">
      <c r="A49" s="3"/>
      <c r="B49" s="3" t="s">
        <v>28</v>
      </c>
      <c r="C49" s="3" t="s">
        <v>151</v>
      </c>
      <c r="D49" s="3"/>
      <c r="E49" s="3"/>
      <c r="F49" s="3"/>
      <c r="G49" s="3"/>
      <c r="H49" s="3"/>
      <c r="I49" s="4"/>
      <c r="J49" s="3"/>
      <c r="K49" s="3"/>
      <c r="L49" s="3"/>
      <c r="M49" s="3"/>
      <c r="N49" s="3"/>
      <c r="O49" s="3"/>
      <c r="P49" s="3"/>
    </row>
    <row r="50" spans="1:16" ht="15.6" x14ac:dyDescent="0.3">
      <c r="C50" s="33"/>
    </row>
    <row r="51" spans="1:16" ht="15.6" x14ac:dyDescent="0.3">
      <c r="B51" s="3" t="s">
        <v>32</v>
      </c>
      <c r="C51" s="33" t="s">
        <v>152</v>
      </c>
    </row>
    <row r="52" spans="1:16" ht="15.6" x14ac:dyDescent="0.3">
      <c r="C52" s="33"/>
    </row>
    <row r="53" spans="1:16" ht="15.6" x14ac:dyDescent="0.3">
      <c r="B53" s="3" t="s">
        <v>33</v>
      </c>
      <c r="C53" s="3" t="s">
        <v>153</v>
      </c>
    </row>
    <row r="54" spans="1:16" ht="15.6" x14ac:dyDescent="0.3">
      <c r="C54" s="33" t="s">
        <v>52</v>
      </c>
    </row>
    <row r="55" spans="1:16" ht="15.6" x14ac:dyDescent="0.3">
      <c r="C55" s="33" t="s">
        <v>52</v>
      </c>
    </row>
    <row r="57" spans="1:16" x14ac:dyDescent="0.3">
      <c r="C57" t="s">
        <v>52</v>
      </c>
      <c r="D57" t="s">
        <v>52</v>
      </c>
    </row>
    <row r="58" spans="1:16" x14ac:dyDescent="0.3">
      <c r="C58" t="s">
        <v>52</v>
      </c>
      <c r="D58" t="s">
        <v>52</v>
      </c>
    </row>
  </sheetData>
  <mergeCells count="2">
    <mergeCell ref="A1:G1"/>
    <mergeCell ref="H7:I7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CF382-065A-4AD5-8C79-F438CB1595DF}">
  <dimension ref="A1:P58"/>
  <sheetViews>
    <sheetView topLeftCell="A25" zoomScale="85" zoomScaleNormal="85" workbookViewId="0">
      <selection activeCell="O47" sqref="O47"/>
    </sheetView>
  </sheetViews>
  <sheetFormatPr defaultRowHeight="14.4" x14ac:dyDescent="0.3"/>
  <cols>
    <col min="1" max="1" width="11.33203125" customWidth="1"/>
    <col min="2" max="2" width="29.33203125" customWidth="1"/>
    <col min="3" max="3" width="22.109375" customWidth="1"/>
    <col min="4" max="4" width="14.88671875" customWidth="1"/>
    <col min="5" max="5" width="16.6640625" customWidth="1"/>
    <col min="6" max="6" width="17.44140625" customWidth="1"/>
    <col min="8" max="8" width="20.44140625" customWidth="1"/>
    <col min="13" max="13" width="10.6640625" customWidth="1"/>
    <col min="14" max="14" width="10" bestFit="1" customWidth="1"/>
    <col min="15" max="15" width="10.6640625" customWidth="1"/>
  </cols>
  <sheetData>
    <row r="1" spans="1:16" ht="18" x14ac:dyDescent="0.35">
      <c r="A1" s="66" t="s">
        <v>0</v>
      </c>
      <c r="B1" s="66"/>
      <c r="C1" s="66"/>
      <c r="D1" s="66"/>
      <c r="E1" s="66"/>
      <c r="F1" s="66"/>
      <c r="G1" s="66"/>
      <c r="H1" s="1"/>
      <c r="I1" s="2"/>
      <c r="J1" s="1"/>
      <c r="K1" s="1"/>
      <c r="L1" s="1"/>
      <c r="M1" s="1"/>
      <c r="N1" s="1"/>
      <c r="O1" s="1"/>
      <c r="P1" s="1"/>
    </row>
    <row r="2" spans="1:16" ht="15.6" x14ac:dyDescent="0.3">
      <c r="A2" s="3"/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</row>
    <row r="3" spans="1:16" ht="15.6" x14ac:dyDescent="0.3">
      <c r="A3" s="3"/>
      <c r="B3" s="5" t="s">
        <v>1</v>
      </c>
      <c r="C3" s="6" t="s">
        <v>43</v>
      </c>
      <c r="D3" s="7"/>
      <c r="E3" s="3"/>
      <c r="F3" s="5" t="s">
        <v>2</v>
      </c>
      <c r="G3" s="8">
        <v>4355</v>
      </c>
      <c r="H3" s="5" t="s">
        <v>41</v>
      </c>
      <c r="I3" s="36">
        <v>49</v>
      </c>
      <c r="J3" s="3"/>
      <c r="K3" s="3"/>
      <c r="L3" s="3"/>
      <c r="M3" s="3"/>
      <c r="N3" s="3"/>
      <c r="O3" s="3"/>
      <c r="P3" s="3"/>
    </row>
    <row r="4" spans="1:16" ht="15.6" x14ac:dyDescent="0.3">
      <c r="A4" s="3"/>
      <c r="B4" s="5" t="s">
        <v>3</v>
      </c>
      <c r="C4" s="37">
        <v>300155</v>
      </c>
      <c r="D4" s="7"/>
      <c r="E4" s="3"/>
      <c r="F4" s="5" t="s">
        <v>4</v>
      </c>
      <c r="G4" s="8">
        <f>J16+'6-8-22'!G4</f>
        <v>1902</v>
      </c>
      <c r="H4" s="34" t="s">
        <v>42</v>
      </c>
      <c r="I4" s="4">
        <v>25</v>
      </c>
      <c r="J4" s="3"/>
      <c r="K4" s="3"/>
      <c r="L4" s="3"/>
      <c r="M4" s="3"/>
      <c r="N4" s="3"/>
      <c r="O4" s="3"/>
      <c r="P4" s="3"/>
    </row>
    <row r="5" spans="1:16" ht="15.6" x14ac:dyDescent="0.3">
      <c r="A5" s="3"/>
      <c r="B5" s="5" t="s">
        <v>5</v>
      </c>
      <c r="C5" s="38">
        <v>44721</v>
      </c>
      <c r="D5" s="3"/>
      <c r="E5" s="3"/>
      <c r="F5" s="3"/>
      <c r="G5" s="3"/>
      <c r="H5" s="3"/>
      <c r="I5" s="4"/>
      <c r="J5" s="3"/>
      <c r="K5" s="3"/>
      <c r="L5" s="3"/>
      <c r="M5" s="3"/>
      <c r="N5" s="3"/>
      <c r="O5" s="3"/>
      <c r="P5" s="3"/>
    </row>
    <row r="6" spans="1:16" ht="15.6" x14ac:dyDescent="0.3">
      <c r="A6" s="3"/>
      <c r="B6" s="5"/>
      <c r="C6" s="3"/>
      <c r="D6" s="3"/>
      <c r="E6" s="3"/>
      <c r="F6" s="3"/>
      <c r="G6" s="3"/>
      <c r="H6" s="3"/>
      <c r="I6" s="4"/>
      <c r="J6" s="3"/>
      <c r="K6" s="3"/>
      <c r="L6" s="3"/>
      <c r="M6" s="3"/>
      <c r="N6" s="3"/>
      <c r="O6" s="3"/>
      <c r="P6" s="3"/>
    </row>
    <row r="7" spans="1:16" ht="15.6" x14ac:dyDescent="0.3">
      <c r="A7" s="10" t="s">
        <v>6</v>
      </c>
      <c r="B7" s="11"/>
      <c r="C7" s="12" t="s">
        <v>7</v>
      </c>
      <c r="D7" s="3"/>
      <c r="E7" s="12" t="s">
        <v>8</v>
      </c>
      <c r="F7" s="12" t="s">
        <v>34</v>
      </c>
      <c r="G7" s="3"/>
      <c r="H7" s="67" t="s">
        <v>7</v>
      </c>
      <c r="I7" s="67"/>
      <c r="J7" s="12" t="s">
        <v>8</v>
      </c>
      <c r="K7" s="3"/>
      <c r="L7" s="3"/>
      <c r="M7" s="3"/>
      <c r="N7" s="3"/>
      <c r="O7" s="3"/>
      <c r="P7" s="3"/>
    </row>
    <row r="8" spans="1:16" ht="15.6" x14ac:dyDescent="0.3">
      <c r="A8" s="13">
        <v>1</v>
      </c>
      <c r="B8" s="5" t="s">
        <v>9</v>
      </c>
      <c r="C8" s="14" t="s">
        <v>35</v>
      </c>
      <c r="D8" s="15"/>
      <c r="E8" s="35">
        <v>9</v>
      </c>
      <c r="F8" s="16">
        <v>66</v>
      </c>
      <c r="G8" s="11">
        <v>9</v>
      </c>
      <c r="H8" s="14" t="s">
        <v>40</v>
      </c>
      <c r="I8" s="8"/>
      <c r="J8" s="39">
        <v>9</v>
      </c>
      <c r="K8" s="3"/>
      <c r="L8" s="3"/>
      <c r="M8" s="3"/>
      <c r="N8" s="3"/>
      <c r="O8" s="3"/>
      <c r="P8" s="3"/>
    </row>
    <row r="9" spans="1:16" ht="15.6" x14ac:dyDescent="0.3">
      <c r="A9" s="13">
        <v>2</v>
      </c>
      <c r="B9" s="5" t="s">
        <v>10</v>
      </c>
      <c r="C9" s="14" t="s">
        <v>37</v>
      </c>
      <c r="D9" s="8"/>
      <c r="E9" s="35">
        <v>9</v>
      </c>
      <c r="F9" s="16"/>
      <c r="G9" s="11">
        <v>10</v>
      </c>
      <c r="H9" s="14"/>
      <c r="I9" s="8"/>
      <c r="J9" s="39"/>
      <c r="K9" s="3"/>
      <c r="L9" s="3"/>
      <c r="M9" s="3"/>
      <c r="N9" s="3"/>
      <c r="O9" s="3"/>
      <c r="P9" s="3"/>
    </row>
    <row r="10" spans="1:16" ht="15.6" x14ac:dyDescent="0.3">
      <c r="A10" s="13">
        <v>3</v>
      </c>
      <c r="B10" s="5" t="s">
        <v>11</v>
      </c>
      <c r="C10" s="14" t="s">
        <v>36</v>
      </c>
      <c r="D10" s="8"/>
      <c r="E10" s="35">
        <v>9</v>
      </c>
      <c r="F10" s="16">
        <v>78</v>
      </c>
      <c r="G10" s="11">
        <v>11</v>
      </c>
      <c r="H10" s="3"/>
      <c r="I10" s="8"/>
      <c r="J10" s="39"/>
      <c r="K10" s="3"/>
      <c r="L10" s="3"/>
      <c r="M10" s="3"/>
      <c r="N10" s="3"/>
      <c r="O10" s="3"/>
      <c r="P10" s="3"/>
    </row>
    <row r="11" spans="1:16" ht="15.6" x14ac:dyDescent="0.3">
      <c r="A11" s="13">
        <v>4</v>
      </c>
      <c r="B11" s="5" t="s">
        <v>12</v>
      </c>
      <c r="C11" s="14" t="s">
        <v>29</v>
      </c>
      <c r="D11" s="8"/>
      <c r="E11" s="35">
        <v>9</v>
      </c>
      <c r="F11" s="16"/>
      <c r="G11" s="11">
        <v>12</v>
      </c>
      <c r="H11" s="3"/>
      <c r="I11" s="8"/>
      <c r="J11" s="39"/>
      <c r="K11" s="3"/>
      <c r="L11" s="3"/>
      <c r="M11" s="3"/>
      <c r="N11" s="3"/>
      <c r="O11" s="3"/>
      <c r="P11" s="3"/>
    </row>
    <row r="12" spans="1:16" ht="15.6" x14ac:dyDescent="0.3">
      <c r="A12" s="13">
        <v>5</v>
      </c>
      <c r="B12" s="3"/>
      <c r="C12" s="31" t="s">
        <v>30</v>
      </c>
      <c r="D12" s="8"/>
      <c r="E12" s="35">
        <v>9</v>
      </c>
      <c r="F12" s="16"/>
      <c r="G12" s="11">
        <v>13</v>
      </c>
      <c r="H12" s="3"/>
      <c r="I12" s="8"/>
      <c r="J12" s="39"/>
      <c r="K12" s="3"/>
      <c r="L12" s="3"/>
      <c r="M12" s="3"/>
      <c r="N12" s="3"/>
      <c r="O12" s="3"/>
      <c r="P12" s="3"/>
    </row>
    <row r="13" spans="1:16" ht="15.6" x14ac:dyDescent="0.3">
      <c r="A13" s="13">
        <v>6</v>
      </c>
      <c r="B13" s="3"/>
      <c r="C13" s="14" t="s">
        <v>31</v>
      </c>
      <c r="D13" s="8"/>
      <c r="E13" s="35">
        <v>9</v>
      </c>
      <c r="F13" s="16">
        <v>74</v>
      </c>
      <c r="G13" s="11">
        <v>14</v>
      </c>
      <c r="H13" s="18"/>
      <c r="I13" s="8"/>
      <c r="J13" s="39"/>
      <c r="K13" s="3"/>
      <c r="L13" s="3"/>
      <c r="M13" s="3"/>
      <c r="N13" s="3"/>
      <c r="O13" s="3"/>
      <c r="P13" s="3"/>
    </row>
    <row r="14" spans="1:16" ht="15.6" x14ac:dyDescent="0.3">
      <c r="A14" s="13">
        <v>7</v>
      </c>
      <c r="B14" s="5" t="s">
        <v>52</v>
      </c>
      <c r="C14" s="14" t="s">
        <v>39</v>
      </c>
      <c r="D14" s="8"/>
      <c r="E14" s="35">
        <v>9</v>
      </c>
      <c r="F14" s="16"/>
      <c r="G14" s="11">
        <v>15</v>
      </c>
      <c r="H14" s="3"/>
      <c r="I14" s="8"/>
      <c r="J14" s="39"/>
      <c r="K14" s="3"/>
      <c r="L14" s="3"/>
      <c r="M14" s="3"/>
      <c r="N14" s="3"/>
      <c r="O14" s="3"/>
      <c r="P14" s="3"/>
    </row>
    <row r="15" spans="1:16" ht="15.6" x14ac:dyDescent="0.3">
      <c r="A15" s="13">
        <v>8</v>
      </c>
      <c r="B15" s="3"/>
      <c r="C15" s="14" t="s">
        <v>38</v>
      </c>
      <c r="D15" s="8"/>
      <c r="E15" s="35">
        <v>9</v>
      </c>
      <c r="F15" s="16"/>
      <c r="G15" s="11">
        <v>16</v>
      </c>
      <c r="H15" s="3"/>
      <c r="I15" s="8"/>
      <c r="J15" s="39"/>
      <c r="K15" s="3"/>
      <c r="L15" s="3"/>
      <c r="M15" s="3"/>
      <c r="N15" s="3"/>
      <c r="O15" s="3"/>
      <c r="P15" s="3"/>
    </row>
    <row r="16" spans="1:16" ht="15.6" x14ac:dyDescent="0.3">
      <c r="A16" s="3"/>
      <c r="B16" s="3"/>
      <c r="C16" s="3"/>
      <c r="D16" s="3"/>
      <c r="E16" s="3"/>
      <c r="F16" s="3"/>
      <c r="G16" s="13"/>
      <c r="H16" s="7" t="s">
        <v>13</v>
      </c>
      <c r="I16" s="3"/>
      <c r="J16" s="8">
        <f>SUM(E8:E15)+SUM(J8:J15)</f>
        <v>81</v>
      </c>
      <c r="K16" s="3"/>
      <c r="L16" s="3"/>
      <c r="M16" s="3"/>
      <c r="N16" s="3"/>
      <c r="O16" s="3"/>
      <c r="P16" s="3"/>
    </row>
    <row r="17" spans="1:16" ht="15.6" x14ac:dyDescent="0.3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  <c r="L17" s="3"/>
      <c r="M17" s="3"/>
      <c r="N17" s="3"/>
      <c r="O17" s="3"/>
      <c r="P17" s="3"/>
    </row>
    <row r="18" spans="1:16" ht="93.6" x14ac:dyDescent="0.3">
      <c r="A18" s="19"/>
      <c r="B18" s="20" t="s">
        <v>14</v>
      </c>
      <c r="C18" s="21" t="s">
        <v>15</v>
      </c>
      <c r="D18" s="22" t="s">
        <v>16</v>
      </c>
      <c r="E18" s="22" t="s">
        <v>17</v>
      </c>
      <c r="F18" s="22" t="s">
        <v>18</v>
      </c>
      <c r="G18" s="22" t="s">
        <v>19</v>
      </c>
      <c r="H18" s="22" t="s">
        <v>18</v>
      </c>
      <c r="I18" s="22" t="s">
        <v>19</v>
      </c>
      <c r="J18" s="22" t="s">
        <v>20</v>
      </c>
      <c r="K18" s="23" t="s">
        <v>21</v>
      </c>
      <c r="L18" s="24"/>
      <c r="M18" s="23" t="s">
        <v>22</v>
      </c>
      <c r="N18" s="23" t="s">
        <v>23</v>
      </c>
      <c r="O18" s="23" t="s">
        <v>24</v>
      </c>
      <c r="P18" s="23" t="s">
        <v>25</v>
      </c>
    </row>
    <row r="19" spans="1:16" ht="15.6" x14ac:dyDescent="0.3">
      <c r="A19" s="19"/>
      <c r="B19" s="19"/>
      <c r="C19" s="24"/>
      <c r="D19" s="24"/>
      <c r="E19" s="24"/>
      <c r="F19" s="24"/>
      <c r="G19" s="24"/>
      <c r="H19" s="24"/>
      <c r="I19" s="24"/>
      <c r="J19" s="24"/>
      <c r="K19" s="25"/>
      <c r="L19" s="24"/>
      <c r="M19" s="3"/>
      <c r="N19" s="3"/>
      <c r="O19" s="3"/>
      <c r="P19" s="3"/>
    </row>
    <row r="20" spans="1:16" ht="15.6" x14ac:dyDescent="0.3">
      <c r="A20" s="3"/>
      <c r="B20" s="8" t="s">
        <v>26</v>
      </c>
      <c r="C20" s="8">
        <v>1</v>
      </c>
      <c r="D20" s="8">
        <v>1</v>
      </c>
      <c r="E20" s="8"/>
      <c r="F20" s="8"/>
      <c r="G20" s="35">
        <v>0</v>
      </c>
      <c r="H20" s="8"/>
      <c r="I20" s="16"/>
      <c r="J20" s="35">
        <f>F20*G20+H20*I20</f>
        <v>0</v>
      </c>
      <c r="K20" s="16" t="e">
        <f>E20/(J20)</f>
        <v>#DIV/0!</v>
      </c>
      <c r="L20" s="3"/>
      <c r="M20" s="26">
        <v>0</v>
      </c>
      <c r="N20" s="27">
        <f>M20/C20</f>
        <v>0</v>
      </c>
      <c r="O20" s="35">
        <f>J20+'6-8-22'!O20</f>
        <v>108</v>
      </c>
      <c r="P20" s="26">
        <f>M20/O20</f>
        <v>0</v>
      </c>
    </row>
    <row r="21" spans="1:16" ht="15.6" x14ac:dyDescent="0.3">
      <c r="A21" s="3"/>
      <c r="B21" s="3"/>
      <c r="C21" s="3"/>
      <c r="D21" s="3"/>
      <c r="E21" s="3"/>
      <c r="F21" s="3"/>
      <c r="G21" s="40"/>
      <c r="H21" s="3"/>
      <c r="I21" s="28"/>
      <c r="J21" s="40"/>
      <c r="K21" s="28"/>
      <c r="L21" s="3"/>
      <c r="M21" s="29"/>
      <c r="N21" s="3"/>
      <c r="O21" s="3"/>
      <c r="P21" s="3"/>
    </row>
    <row r="22" spans="1:16" ht="15.6" x14ac:dyDescent="0.3">
      <c r="A22" s="3"/>
      <c r="B22" s="8" t="s">
        <v>53</v>
      </c>
      <c r="C22" s="8">
        <v>125400</v>
      </c>
      <c r="D22" s="41"/>
      <c r="E22" s="41"/>
      <c r="F22" s="8"/>
      <c r="G22" s="35"/>
      <c r="H22" s="8"/>
      <c r="I22" s="16"/>
      <c r="J22" s="35">
        <f>F22*G22+H22*I22</f>
        <v>0</v>
      </c>
      <c r="K22" s="16" t="e">
        <f>E22/(J22)</f>
        <v>#DIV/0!</v>
      </c>
      <c r="L22" s="3"/>
      <c r="M22" s="26">
        <f>E22+'6-8-22'!M22</f>
        <v>125400</v>
      </c>
      <c r="N22" s="27">
        <f>M22/C22</f>
        <v>1</v>
      </c>
      <c r="O22" s="35">
        <f>J22+'6-8-22'!O22</f>
        <v>679.75</v>
      </c>
      <c r="P22" s="26">
        <f>M22/O22</f>
        <v>184.47958808385437</v>
      </c>
    </row>
    <row r="23" spans="1:16" ht="15.6" x14ac:dyDescent="0.3">
      <c r="A23" s="3"/>
      <c r="B23" s="3"/>
      <c r="C23" s="3"/>
      <c r="D23" s="3"/>
      <c r="E23" s="3"/>
      <c r="F23" s="3"/>
      <c r="G23" s="40"/>
      <c r="H23" s="3"/>
      <c r="I23" s="28"/>
      <c r="J23" s="40"/>
      <c r="K23" s="28"/>
      <c r="L23" s="3"/>
      <c r="M23" s="29"/>
      <c r="N23" s="3"/>
      <c r="O23" s="36"/>
      <c r="P23" s="29"/>
    </row>
    <row r="24" spans="1:16" ht="15.6" x14ac:dyDescent="0.3">
      <c r="A24" s="3"/>
      <c r="B24" s="8" t="s">
        <v>54</v>
      </c>
      <c r="C24" s="8">
        <v>125400</v>
      </c>
      <c r="D24" s="8"/>
      <c r="E24" s="8"/>
      <c r="F24" s="8"/>
      <c r="G24" s="35"/>
      <c r="H24" s="8"/>
      <c r="I24" s="16"/>
      <c r="J24" s="35">
        <f>F24*G24+H24*I24</f>
        <v>0</v>
      </c>
      <c r="K24" s="16" t="e">
        <f>E24/(J24)</f>
        <v>#DIV/0!</v>
      </c>
      <c r="L24" s="3"/>
      <c r="M24" s="26">
        <f>E24+'6-8-22'!M24</f>
        <v>125400</v>
      </c>
      <c r="N24" s="27">
        <f>M24/C24</f>
        <v>1</v>
      </c>
      <c r="O24" s="35">
        <f>J24+'6-8-22'!O24</f>
        <v>449.75</v>
      </c>
      <c r="P24" s="26">
        <f>M24/O24</f>
        <v>278.82156753752082</v>
      </c>
    </row>
    <row r="25" spans="1:16" ht="15.6" x14ac:dyDescent="0.3">
      <c r="A25" s="3"/>
      <c r="B25" s="3"/>
      <c r="C25" s="3"/>
      <c r="D25" s="3"/>
      <c r="E25" s="3"/>
      <c r="F25" s="3"/>
      <c r="G25" s="36"/>
      <c r="H25" s="3"/>
      <c r="I25" s="4"/>
      <c r="J25" s="36"/>
      <c r="K25" s="4"/>
      <c r="L25" s="3"/>
      <c r="M25" s="29"/>
      <c r="N25" s="3"/>
      <c r="O25" s="3"/>
      <c r="P25" s="3"/>
    </row>
    <row r="26" spans="1:16" ht="15.6" x14ac:dyDescent="0.3">
      <c r="A26" s="3"/>
      <c r="B26" s="8" t="s">
        <v>44</v>
      </c>
      <c r="C26" s="8">
        <v>3040</v>
      </c>
      <c r="D26" s="8"/>
      <c r="E26" s="8">
        <v>663</v>
      </c>
      <c r="F26" s="8">
        <v>3</v>
      </c>
      <c r="G26" s="35">
        <v>5</v>
      </c>
      <c r="H26" s="8"/>
      <c r="I26" s="16"/>
      <c r="J26" s="35">
        <f>F26*G26+H26*I26</f>
        <v>15</v>
      </c>
      <c r="K26" s="16">
        <f>E26/(J26)</f>
        <v>44.2</v>
      </c>
      <c r="L26" s="3"/>
      <c r="M26" s="26">
        <f>E26+'6-8-22'!M26</f>
        <v>1126</v>
      </c>
      <c r="N26" s="27">
        <f>M26/C26</f>
        <v>0.37039473684210528</v>
      </c>
      <c r="O26" s="35">
        <f>J26+'6-8-22'!O26</f>
        <v>62</v>
      </c>
      <c r="P26" s="26">
        <f>M26/O26</f>
        <v>18.161290322580644</v>
      </c>
    </row>
    <row r="27" spans="1:16" ht="15.6" x14ac:dyDescent="0.3">
      <c r="A27" s="3"/>
      <c r="B27" s="3"/>
      <c r="C27" s="3"/>
      <c r="D27" s="3"/>
      <c r="E27" s="3"/>
      <c r="F27" s="3"/>
      <c r="G27" s="36"/>
      <c r="H27" s="3"/>
      <c r="I27" s="4"/>
      <c r="J27" s="36"/>
      <c r="K27" s="4"/>
      <c r="L27" s="3"/>
      <c r="M27" s="29"/>
      <c r="N27" s="3"/>
      <c r="O27" s="3"/>
      <c r="P27" s="3"/>
    </row>
    <row r="28" spans="1:16" ht="15.6" x14ac:dyDescent="0.3">
      <c r="A28" s="3"/>
      <c r="B28" s="8" t="s">
        <v>45</v>
      </c>
      <c r="C28" s="8">
        <v>3040</v>
      </c>
      <c r="D28" s="8"/>
      <c r="E28" s="8"/>
      <c r="F28" s="8">
        <v>6</v>
      </c>
      <c r="G28" s="35">
        <v>5</v>
      </c>
      <c r="H28" s="8"/>
      <c r="I28" s="16"/>
      <c r="J28" s="35">
        <f>F28*G28+H28*I28</f>
        <v>30</v>
      </c>
      <c r="K28" s="16">
        <f>E28/(J28)</f>
        <v>0</v>
      </c>
      <c r="L28" s="3"/>
      <c r="M28" s="26">
        <f>E28+'6-8-22'!M28</f>
        <v>463</v>
      </c>
      <c r="N28" s="27">
        <f>M28/C28</f>
        <v>0.15230263157894736</v>
      </c>
      <c r="O28" s="35">
        <f>J28+'6-8-22'!O28</f>
        <v>46</v>
      </c>
      <c r="P28" s="26">
        <f>M28/O28</f>
        <v>10.065217391304348</v>
      </c>
    </row>
    <row r="29" spans="1:16" ht="15.6" x14ac:dyDescent="0.3">
      <c r="A29" s="3"/>
      <c r="B29" s="3"/>
      <c r="C29" s="3"/>
      <c r="D29" s="3"/>
      <c r="E29" s="3"/>
      <c r="F29" s="3"/>
      <c r="G29" s="36"/>
      <c r="H29" s="3"/>
      <c r="I29" s="4"/>
      <c r="J29" s="36"/>
      <c r="K29" s="4"/>
      <c r="L29" s="3"/>
      <c r="M29" s="29"/>
      <c r="N29" s="3"/>
      <c r="O29" s="3"/>
      <c r="P29" s="3"/>
    </row>
    <row r="30" spans="1:16" ht="15.6" x14ac:dyDescent="0.3">
      <c r="A30" s="3"/>
      <c r="B30" s="8" t="s">
        <v>47</v>
      </c>
      <c r="C30" s="8">
        <v>125400</v>
      </c>
      <c r="D30" s="8"/>
      <c r="E30" s="8"/>
      <c r="F30" s="8"/>
      <c r="G30" s="35"/>
      <c r="H30" s="8"/>
      <c r="I30" s="35"/>
      <c r="J30" s="35">
        <f>F30*G30+H30*I30</f>
        <v>0</v>
      </c>
      <c r="K30" s="16" t="e">
        <f>E30/(J30)</f>
        <v>#DIV/0!</v>
      </c>
      <c r="L30" s="3"/>
      <c r="M30" s="26">
        <f>E30+'6-8-22'!M30</f>
        <v>0</v>
      </c>
      <c r="N30" s="27">
        <f>M30/C30</f>
        <v>0</v>
      </c>
      <c r="O30" s="35">
        <f>J30+'6-8-22'!O30</f>
        <v>182.25</v>
      </c>
      <c r="P30" s="26">
        <f>M30/O30</f>
        <v>0</v>
      </c>
    </row>
    <row r="31" spans="1:16" ht="15.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7"/>
      <c r="O31" s="3"/>
      <c r="P31" s="3"/>
    </row>
    <row r="32" spans="1:16" ht="15.6" x14ac:dyDescent="0.3">
      <c r="A32" s="3"/>
      <c r="B32" s="8" t="s">
        <v>46</v>
      </c>
      <c r="C32" s="8">
        <v>324</v>
      </c>
      <c r="D32" s="8"/>
      <c r="E32" s="8"/>
      <c r="F32" s="8"/>
      <c r="G32" s="35"/>
      <c r="H32" s="8"/>
      <c r="I32" s="16"/>
      <c r="J32" s="35">
        <f>F32*G32+H32*I32</f>
        <v>0</v>
      </c>
      <c r="K32" s="16" t="e">
        <f>E32/(J32)</f>
        <v>#DIV/0!</v>
      </c>
      <c r="L32" s="3"/>
      <c r="M32" s="26">
        <f>E32+'6-8-22'!M32</f>
        <v>0</v>
      </c>
      <c r="N32" s="27">
        <f>M32/C32</f>
        <v>0</v>
      </c>
      <c r="O32" s="35">
        <f>J32+'6-8-22'!O32</f>
        <v>0</v>
      </c>
      <c r="P32" s="26" t="e">
        <f>M32/O32</f>
        <v>#DIV/0!</v>
      </c>
    </row>
    <row r="33" spans="1:16" ht="15.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7"/>
      <c r="O33" s="3"/>
      <c r="P33" s="3"/>
    </row>
    <row r="34" spans="1:16" ht="15.6" x14ac:dyDescent="0.3">
      <c r="A34" s="3"/>
      <c r="B34" s="8" t="s">
        <v>48</v>
      </c>
      <c r="C34" s="8">
        <v>115000</v>
      </c>
      <c r="D34" s="8"/>
      <c r="E34" s="8"/>
      <c r="F34" s="8"/>
      <c r="G34" s="35"/>
      <c r="H34" s="8"/>
      <c r="I34" s="16"/>
      <c r="J34" s="35">
        <f>F34*G34+H34*I34</f>
        <v>0</v>
      </c>
      <c r="K34" s="16" t="e">
        <f>E34/(J34)</f>
        <v>#DIV/0!</v>
      </c>
      <c r="L34" s="3"/>
      <c r="M34" s="26">
        <f>E34+'6-8-22'!M34</f>
        <v>0</v>
      </c>
      <c r="N34" s="27">
        <f>M34/C34</f>
        <v>0</v>
      </c>
      <c r="O34" s="35">
        <f>J34+'6-8-22'!O34</f>
        <v>0</v>
      </c>
      <c r="P34" s="26" t="e">
        <f>M34/O34</f>
        <v>#DIV/0!</v>
      </c>
    </row>
    <row r="35" spans="1:16" ht="15.6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27"/>
      <c r="O35" s="3"/>
      <c r="P35" s="3"/>
    </row>
    <row r="36" spans="1:16" ht="15.6" x14ac:dyDescent="0.3">
      <c r="A36" s="3"/>
      <c r="B36" s="8" t="s">
        <v>49</v>
      </c>
      <c r="C36" s="8">
        <v>8</v>
      </c>
      <c r="D36" s="8"/>
      <c r="E36" s="8"/>
      <c r="F36" s="8"/>
      <c r="G36" s="35"/>
      <c r="H36" s="8"/>
      <c r="I36" s="16"/>
      <c r="J36" s="35">
        <f>F36*G36+H36*I36</f>
        <v>0</v>
      </c>
      <c r="K36" s="16" t="e">
        <f>E36/(J36)</f>
        <v>#DIV/0!</v>
      </c>
      <c r="L36" s="3"/>
      <c r="M36" s="26">
        <f>E36+'6-8-22'!M36</f>
        <v>0</v>
      </c>
      <c r="N36" s="27">
        <f>M36/C36</f>
        <v>0</v>
      </c>
      <c r="O36" s="35">
        <f>J36+'6-8-22'!O36</f>
        <v>24</v>
      </c>
      <c r="P36" s="26">
        <f>M36/O36</f>
        <v>0</v>
      </c>
    </row>
    <row r="37" spans="1:16" ht="15.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27"/>
      <c r="O37" s="3"/>
      <c r="P37" s="3"/>
    </row>
    <row r="38" spans="1:16" ht="15.6" x14ac:dyDescent="0.3">
      <c r="A38" s="3"/>
      <c r="B38" s="8" t="s">
        <v>50</v>
      </c>
      <c r="C38" s="8">
        <f>2760+480</f>
        <v>3240</v>
      </c>
      <c r="D38" s="8"/>
      <c r="E38" s="8"/>
      <c r="F38" s="8"/>
      <c r="G38" s="35"/>
      <c r="H38" s="8"/>
      <c r="I38" s="16"/>
      <c r="J38" s="35">
        <f>F38*G38+H38*I38</f>
        <v>0</v>
      </c>
      <c r="K38" s="16" t="e">
        <f>E38/(J38)</f>
        <v>#DIV/0!</v>
      </c>
      <c r="L38" s="3"/>
      <c r="M38" s="26">
        <f>E38+'6-8-22'!M38</f>
        <v>555</v>
      </c>
      <c r="N38" s="27">
        <f>M38/C38</f>
        <v>0.17129629629629631</v>
      </c>
      <c r="O38" s="35">
        <f>J38+'6-8-22'!O38</f>
        <v>25.5</v>
      </c>
      <c r="P38" s="26">
        <f>M38/O38</f>
        <v>21.764705882352942</v>
      </c>
    </row>
    <row r="39" spans="1:16" ht="15.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7"/>
      <c r="O39" s="3"/>
      <c r="P39" s="3"/>
    </row>
    <row r="40" spans="1:16" ht="15.6" x14ac:dyDescent="0.3">
      <c r="A40" s="3"/>
      <c r="B40" s="8" t="s">
        <v>115</v>
      </c>
      <c r="C40" s="8">
        <v>25</v>
      </c>
      <c r="D40" s="8"/>
      <c r="E40" s="8"/>
      <c r="F40" s="8"/>
      <c r="G40" s="35"/>
      <c r="H40" s="8"/>
      <c r="I40" s="16"/>
      <c r="J40" s="35">
        <f>F40*G40+H40*I40</f>
        <v>0</v>
      </c>
      <c r="K40" s="16" t="e">
        <f>E40/(J40)</f>
        <v>#DIV/0!</v>
      </c>
      <c r="L40" s="3"/>
      <c r="M40" s="26">
        <f>E40+'6-8-22'!M40</f>
        <v>0</v>
      </c>
      <c r="N40" s="27">
        <f>M40/C40</f>
        <v>0</v>
      </c>
      <c r="O40" s="35">
        <f>J40+'6-8-22'!O40</f>
        <v>0</v>
      </c>
      <c r="P40" s="26" t="e">
        <f>M40/O40</f>
        <v>#DIV/0!</v>
      </c>
    </row>
    <row r="41" spans="1:16" ht="15.6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27"/>
      <c r="O41" s="3"/>
      <c r="P41" s="3"/>
    </row>
    <row r="42" spans="1:16" ht="15.6" x14ac:dyDescent="0.3">
      <c r="A42" s="3"/>
      <c r="B42" s="8" t="s">
        <v>113</v>
      </c>
      <c r="C42" s="8" t="s">
        <v>52</v>
      </c>
      <c r="D42" s="8"/>
      <c r="E42" s="8"/>
      <c r="F42" s="8"/>
      <c r="G42" s="35"/>
      <c r="H42" s="8"/>
      <c r="I42" s="16"/>
      <c r="J42" s="35">
        <f>F42*G42+H42*I42</f>
        <v>0</v>
      </c>
      <c r="K42" s="16" t="e">
        <f>E42/(J42)</f>
        <v>#DIV/0!</v>
      </c>
      <c r="L42" s="3"/>
      <c r="M42" s="26">
        <f>E42+'6-8-22'!M42</f>
        <v>0</v>
      </c>
      <c r="N42" s="53" t="e">
        <f>M42/C42</f>
        <v>#VALUE!</v>
      </c>
      <c r="O42" s="35">
        <f>J42+'6-8-22'!O42</f>
        <v>0</v>
      </c>
      <c r="P42" s="26" t="e">
        <f>M42/O42</f>
        <v>#DIV/0!</v>
      </c>
    </row>
    <row r="43" spans="1:16" ht="15.6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27"/>
      <c r="O43" s="3"/>
      <c r="P43" s="3"/>
    </row>
    <row r="44" spans="1:16" ht="15.6" x14ac:dyDescent="0.3">
      <c r="A44" s="3"/>
      <c r="B44" s="8" t="s">
        <v>114</v>
      </c>
      <c r="C44" s="8" t="s">
        <v>52</v>
      </c>
      <c r="D44" s="8"/>
      <c r="E44" s="8" t="s">
        <v>146</v>
      </c>
      <c r="F44" s="8">
        <v>9</v>
      </c>
      <c r="G44" s="35">
        <v>4</v>
      </c>
      <c r="H44" s="8"/>
      <c r="I44" s="16"/>
      <c r="J44" s="35">
        <f>F44*G44+H44*I44</f>
        <v>36</v>
      </c>
      <c r="K44" s="16" t="e">
        <f>E44/(J44)</f>
        <v>#VALUE!</v>
      </c>
      <c r="L44" s="3"/>
      <c r="M44" s="26" t="e">
        <f>E44+'6-8-22'!M44</f>
        <v>#VALUE!</v>
      </c>
      <c r="N44" s="53" t="e">
        <f>M44/C44</f>
        <v>#VALUE!</v>
      </c>
      <c r="O44" s="35">
        <f>J44+'6-8-22'!O44</f>
        <v>99</v>
      </c>
      <c r="P44" s="26" t="e">
        <f>M44/O44</f>
        <v>#VALUE!</v>
      </c>
    </row>
    <row r="45" spans="1:16" ht="15.6" x14ac:dyDescent="0.3">
      <c r="A45" s="3"/>
      <c r="B45" s="3"/>
      <c r="C45" s="3"/>
      <c r="D45" s="3"/>
      <c r="E45" s="3" t="s">
        <v>145</v>
      </c>
      <c r="F45" s="3"/>
      <c r="G45" s="3"/>
      <c r="H45" s="3"/>
      <c r="I45" s="3"/>
      <c r="J45" s="3"/>
      <c r="K45" s="3"/>
      <c r="L45" s="3"/>
      <c r="M45" s="3"/>
      <c r="N45" s="27"/>
      <c r="O45" s="3"/>
      <c r="P45" s="3"/>
    </row>
    <row r="46" spans="1:16" ht="15.6" x14ac:dyDescent="0.3">
      <c r="A46" s="3"/>
      <c r="B46" s="8" t="s">
        <v>75</v>
      </c>
      <c r="C46" s="8"/>
      <c r="D46" s="8" t="s">
        <v>52</v>
      </c>
      <c r="E46" s="8"/>
      <c r="F46" s="8"/>
      <c r="G46" s="35"/>
      <c r="H46" s="8"/>
      <c r="I46" s="16"/>
      <c r="J46" s="35">
        <f>F46*G46+H46*I46</f>
        <v>0</v>
      </c>
      <c r="K46" s="16" t="e">
        <f>E46/(J46)</f>
        <v>#DIV/0!</v>
      </c>
      <c r="L46" s="3"/>
      <c r="M46" s="26">
        <f>E46+'6-8-22'!M46</f>
        <v>0</v>
      </c>
      <c r="N46" s="53" t="e">
        <f>M46/C46</f>
        <v>#DIV/0!</v>
      </c>
      <c r="O46" s="35">
        <f>J46+'6-8-22'!O46</f>
        <v>225.75</v>
      </c>
      <c r="P46" s="26">
        <f>M46/O46</f>
        <v>0</v>
      </c>
    </row>
    <row r="47" spans="1:16" ht="15.6" x14ac:dyDescent="0.3">
      <c r="A47" s="3"/>
      <c r="B47" s="3" t="s">
        <v>27</v>
      </c>
      <c r="C47" s="3"/>
      <c r="D47" s="3" t="s">
        <v>52</v>
      </c>
      <c r="E47" s="3"/>
      <c r="F47" s="3"/>
      <c r="G47" s="3"/>
      <c r="H47" s="30"/>
      <c r="I47" s="4"/>
      <c r="J47" s="3">
        <f>J20+J22+J24+J26+J28+J30+J32+J34+J36+J38+J40+J42+J44+J46</f>
        <v>81</v>
      </c>
      <c r="K47" s="3"/>
      <c r="L47" s="3"/>
      <c r="M47" s="3"/>
      <c r="N47" s="3"/>
      <c r="O47" s="3">
        <f>O20+O22+O24+O26+O28+O30+O32+O34+O36+O38+O40+O42+O44+O46</f>
        <v>1902</v>
      </c>
      <c r="P47" s="3"/>
    </row>
    <row r="48" spans="1:16" ht="15.6" x14ac:dyDescent="0.3">
      <c r="A48" s="3"/>
      <c r="B48" s="3"/>
      <c r="C48" s="3"/>
      <c r="D48" s="3"/>
      <c r="E48" s="3"/>
      <c r="F48" s="3"/>
      <c r="G48" s="3"/>
      <c r="H48" s="3"/>
      <c r="I48" s="4"/>
      <c r="J48" s="3"/>
      <c r="K48" s="3"/>
      <c r="L48" s="3"/>
      <c r="M48" s="3"/>
      <c r="N48" s="3"/>
      <c r="O48" s="3"/>
      <c r="P48" s="3"/>
    </row>
    <row r="49" spans="1:16" ht="15.6" x14ac:dyDescent="0.3">
      <c r="A49" s="3"/>
      <c r="B49" s="3" t="s">
        <v>28</v>
      </c>
      <c r="C49" s="3" t="s">
        <v>147</v>
      </c>
      <c r="D49" s="3"/>
      <c r="E49" s="3"/>
      <c r="F49" s="3"/>
      <c r="G49" s="3"/>
      <c r="H49" s="3"/>
      <c r="I49" s="4"/>
      <c r="J49" s="3"/>
      <c r="K49" s="3"/>
      <c r="L49" s="3"/>
      <c r="M49" s="3"/>
      <c r="N49" s="3"/>
      <c r="O49" s="3"/>
      <c r="P49" s="3"/>
    </row>
    <row r="50" spans="1:16" ht="15.6" x14ac:dyDescent="0.3">
      <c r="C50" s="33"/>
    </row>
    <row r="51" spans="1:16" ht="15.6" x14ac:dyDescent="0.3">
      <c r="B51" s="3" t="s">
        <v>32</v>
      </c>
      <c r="C51" s="33" t="s">
        <v>148</v>
      </c>
    </row>
    <row r="52" spans="1:16" ht="15.6" x14ac:dyDescent="0.3">
      <c r="C52" s="33"/>
    </row>
    <row r="53" spans="1:16" ht="15.6" x14ac:dyDescent="0.3">
      <c r="B53" s="3" t="s">
        <v>33</v>
      </c>
      <c r="C53" s="3" t="s">
        <v>149</v>
      </c>
    </row>
    <row r="54" spans="1:16" ht="15.6" x14ac:dyDescent="0.3">
      <c r="C54" s="33" t="s">
        <v>150</v>
      </c>
    </row>
    <row r="55" spans="1:16" ht="15.6" x14ac:dyDescent="0.3">
      <c r="C55" s="33" t="s">
        <v>52</v>
      </c>
    </row>
    <row r="57" spans="1:16" x14ac:dyDescent="0.3">
      <c r="C57" t="s">
        <v>52</v>
      </c>
      <c r="D57" t="s">
        <v>52</v>
      </c>
    </row>
    <row r="58" spans="1:16" x14ac:dyDescent="0.3">
      <c r="C58" t="s">
        <v>52</v>
      </c>
      <c r="D58" t="s">
        <v>52</v>
      </c>
    </row>
  </sheetData>
  <mergeCells count="2">
    <mergeCell ref="A1:G1"/>
    <mergeCell ref="H7:I7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E382-D086-46C8-ABAA-2E0534BE615E}">
  <dimension ref="A1:P58"/>
  <sheetViews>
    <sheetView topLeftCell="A25" zoomScale="85" zoomScaleNormal="85" workbookViewId="0">
      <selection activeCell="F33" sqref="F33"/>
    </sheetView>
  </sheetViews>
  <sheetFormatPr defaultRowHeight="14.4" x14ac:dyDescent="0.3"/>
  <cols>
    <col min="1" max="1" width="11.33203125" customWidth="1"/>
    <col min="2" max="2" width="29.33203125" customWidth="1"/>
    <col min="3" max="3" width="22.109375" customWidth="1"/>
    <col min="4" max="4" width="14.88671875" customWidth="1"/>
    <col min="5" max="5" width="16.6640625" customWidth="1"/>
    <col min="6" max="6" width="17.44140625" customWidth="1"/>
    <col min="8" max="8" width="20.44140625" customWidth="1"/>
    <col min="13" max="13" width="10.6640625" customWidth="1"/>
    <col min="14" max="14" width="10" bestFit="1" customWidth="1"/>
    <col min="15" max="15" width="10.6640625" customWidth="1"/>
  </cols>
  <sheetData>
    <row r="1" spans="1:16" ht="18" x14ac:dyDescent="0.35">
      <c r="A1" s="66" t="s">
        <v>0</v>
      </c>
      <c r="B1" s="66"/>
      <c r="C1" s="66"/>
      <c r="D1" s="66"/>
      <c r="E1" s="66"/>
      <c r="F1" s="66"/>
      <c r="G1" s="66"/>
      <c r="H1" s="1"/>
      <c r="I1" s="2"/>
      <c r="J1" s="1"/>
      <c r="K1" s="1"/>
      <c r="L1" s="1"/>
      <c r="M1" s="1"/>
      <c r="N1" s="1"/>
      <c r="O1" s="1"/>
      <c r="P1" s="1"/>
    </row>
    <row r="2" spans="1:16" ht="15.6" x14ac:dyDescent="0.3">
      <c r="A2" s="3"/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</row>
    <row r="3" spans="1:16" ht="15.6" x14ac:dyDescent="0.3">
      <c r="A3" s="3"/>
      <c r="B3" s="5" t="s">
        <v>1</v>
      </c>
      <c r="C3" s="6" t="s">
        <v>43</v>
      </c>
      <c r="D3" s="7"/>
      <c r="E3" s="3"/>
      <c r="F3" s="5" t="s">
        <v>2</v>
      </c>
      <c r="G3" s="8">
        <v>4355</v>
      </c>
      <c r="H3" s="5" t="s">
        <v>41</v>
      </c>
      <c r="I3" s="36">
        <v>49</v>
      </c>
      <c r="J3" s="3"/>
      <c r="K3" s="3"/>
      <c r="L3" s="3"/>
      <c r="M3" s="3"/>
      <c r="N3" s="3"/>
      <c r="O3" s="3"/>
      <c r="P3" s="3"/>
    </row>
    <row r="4" spans="1:16" ht="15.6" x14ac:dyDescent="0.3">
      <c r="A4" s="3"/>
      <c r="B4" s="5" t="s">
        <v>3</v>
      </c>
      <c r="C4" s="37">
        <v>300155</v>
      </c>
      <c r="D4" s="7"/>
      <c r="E4" s="3"/>
      <c r="F4" s="5" t="s">
        <v>4</v>
      </c>
      <c r="G4" s="8">
        <f>J16+'6-7-22'!G4</f>
        <v>1821</v>
      </c>
      <c r="H4" s="34" t="s">
        <v>42</v>
      </c>
      <c r="I4" s="4">
        <v>24</v>
      </c>
      <c r="J4" s="3"/>
      <c r="K4" s="3"/>
      <c r="L4" s="3"/>
      <c r="M4" s="3"/>
      <c r="N4" s="3"/>
      <c r="O4" s="3"/>
      <c r="P4" s="3"/>
    </row>
    <row r="5" spans="1:16" ht="15.6" x14ac:dyDescent="0.3">
      <c r="A5" s="3"/>
      <c r="B5" s="5" t="s">
        <v>5</v>
      </c>
      <c r="C5" s="38">
        <v>44720</v>
      </c>
      <c r="D5" s="3"/>
      <c r="E5" s="3"/>
      <c r="F5" s="3"/>
      <c r="G5" s="3"/>
      <c r="H5" s="3"/>
      <c r="I5" s="4"/>
      <c r="J5" s="3"/>
      <c r="K5" s="3"/>
      <c r="L5" s="3"/>
      <c r="M5" s="3"/>
      <c r="N5" s="3"/>
      <c r="O5" s="3"/>
      <c r="P5" s="3"/>
    </row>
    <row r="6" spans="1:16" ht="15.6" x14ac:dyDescent="0.3">
      <c r="A6" s="3"/>
      <c r="B6" s="5"/>
      <c r="C6" s="3"/>
      <c r="D6" s="3"/>
      <c r="E6" s="3"/>
      <c r="F6" s="3"/>
      <c r="G6" s="3"/>
      <c r="H6" s="3"/>
      <c r="I6" s="4"/>
      <c r="J6" s="3"/>
      <c r="K6" s="3"/>
      <c r="L6" s="3"/>
      <c r="M6" s="3"/>
      <c r="N6" s="3"/>
      <c r="O6" s="3"/>
      <c r="P6" s="3"/>
    </row>
    <row r="7" spans="1:16" ht="15.6" x14ac:dyDescent="0.3">
      <c r="A7" s="10" t="s">
        <v>6</v>
      </c>
      <c r="B7" s="11"/>
      <c r="C7" s="12" t="s">
        <v>7</v>
      </c>
      <c r="D7" s="3"/>
      <c r="E7" s="12" t="s">
        <v>8</v>
      </c>
      <c r="F7" s="12" t="s">
        <v>34</v>
      </c>
      <c r="G7" s="3"/>
      <c r="H7" s="67" t="s">
        <v>7</v>
      </c>
      <c r="I7" s="67"/>
      <c r="J7" s="12" t="s">
        <v>8</v>
      </c>
      <c r="K7" s="3"/>
      <c r="L7" s="3"/>
      <c r="M7" s="3"/>
      <c r="N7" s="3"/>
      <c r="O7" s="3"/>
      <c r="P7" s="3"/>
    </row>
    <row r="8" spans="1:16" ht="15.6" x14ac:dyDescent="0.3">
      <c r="A8" s="13">
        <v>1</v>
      </c>
      <c r="B8" s="5" t="s">
        <v>9</v>
      </c>
      <c r="C8" s="14" t="s">
        <v>35</v>
      </c>
      <c r="D8" s="15"/>
      <c r="E8" s="35">
        <v>9</v>
      </c>
      <c r="F8" s="16">
        <v>66</v>
      </c>
      <c r="G8" s="11">
        <v>9</v>
      </c>
      <c r="H8" s="14" t="s">
        <v>40</v>
      </c>
      <c r="I8" s="8"/>
      <c r="J8" s="39">
        <v>9</v>
      </c>
      <c r="K8" s="3"/>
      <c r="L8" s="3"/>
      <c r="M8" s="3"/>
      <c r="N8" s="3"/>
      <c r="O8" s="3"/>
      <c r="P8" s="3"/>
    </row>
    <row r="9" spans="1:16" ht="15.6" x14ac:dyDescent="0.3">
      <c r="A9" s="13">
        <v>2</v>
      </c>
      <c r="B9" s="5" t="s">
        <v>10</v>
      </c>
      <c r="C9" s="14" t="s">
        <v>37</v>
      </c>
      <c r="D9" s="8"/>
      <c r="E9" s="35">
        <v>9</v>
      </c>
      <c r="F9" s="16"/>
      <c r="G9" s="11">
        <v>10</v>
      </c>
      <c r="H9" s="14"/>
      <c r="I9" s="8"/>
      <c r="J9" s="39"/>
      <c r="K9" s="3"/>
      <c r="L9" s="3"/>
      <c r="M9" s="3"/>
      <c r="N9" s="3"/>
      <c r="O9" s="3"/>
      <c r="P9" s="3"/>
    </row>
    <row r="10" spans="1:16" ht="15.6" x14ac:dyDescent="0.3">
      <c r="A10" s="13">
        <v>3</v>
      </c>
      <c r="B10" s="5" t="s">
        <v>11</v>
      </c>
      <c r="C10" s="14" t="s">
        <v>36</v>
      </c>
      <c r="D10" s="8"/>
      <c r="E10" s="35">
        <v>9</v>
      </c>
      <c r="F10" s="16">
        <v>78</v>
      </c>
      <c r="G10" s="11">
        <v>11</v>
      </c>
      <c r="H10" s="3"/>
      <c r="I10" s="8"/>
      <c r="J10" s="39"/>
      <c r="K10" s="3"/>
      <c r="L10" s="3"/>
      <c r="M10" s="3"/>
      <c r="N10" s="3"/>
      <c r="O10" s="3"/>
      <c r="P10" s="3"/>
    </row>
    <row r="11" spans="1:16" ht="15.6" x14ac:dyDescent="0.3">
      <c r="A11" s="13">
        <v>4</v>
      </c>
      <c r="B11" s="5" t="s">
        <v>12</v>
      </c>
      <c r="C11" s="14" t="s">
        <v>29</v>
      </c>
      <c r="D11" s="8"/>
      <c r="E11" s="35">
        <v>9</v>
      </c>
      <c r="F11" s="16"/>
      <c r="G11" s="11">
        <v>12</v>
      </c>
      <c r="H11" s="3"/>
      <c r="I11" s="8"/>
      <c r="J11" s="39"/>
      <c r="K11" s="3"/>
      <c r="L11" s="3"/>
      <c r="M11" s="3"/>
      <c r="N11" s="3"/>
      <c r="O11" s="3"/>
      <c r="P11" s="3"/>
    </row>
    <row r="12" spans="1:16" ht="15.6" x14ac:dyDescent="0.3">
      <c r="A12" s="13">
        <v>5</v>
      </c>
      <c r="B12" s="3"/>
      <c r="C12" s="31" t="s">
        <v>30</v>
      </c>
      <c r="D12" s="8"/>
      <c r="E12" s="35">
        <v>9</v>
      </c>
      <c r="F12" s="16"/>
      <c r="G12" s="11">
        <v>13</v>
      </c>
      <c r="H12" s="3"/>
      <c r="I12" s="8"/>
      <c r="J12" s="39"/>
      <c r="K12" s="3"/>
      <c r="L12" s="3"/>
      <c r="M12" s="3"/>
      <c r="N12" s="3"/>
      <c r="O12" s="3"/>
      <c r="P12" s="3"/>
    </row>
    <row r="13" spans="1:16" ht="15.6" x14ac:dyDescent="0.3">
      <c r="A13" s="13">
        <v>6</v>
      </c>
      <c r="B13" s="3"/>
      <c r="C13" s="14" t="s">
        <v>31</v>
      </c>
      <c r="D13" s="8"/>
      <c r="E13" s="35">
        <v>9</v>
      </c>
      <c r="F13" s="16">
        <v>74</v>
      </c>
      <c r="G13" s="11">
        <v>14</v>
      </c>
      <c r="H13" s="18"/>
      <c r="I13" s="8"/>
      <c r="J13" s="39"/>
      <c r="K13" s="3"/>
      <c r="L13" s="3"/>
      <c r="M13" s="3"/>
      <c r="N13" s="3"/>
      <c r="O13" s="3"/>
      <c r="P13" s="3"/>
    </row>
    <row r="14" spans="1:16" ht="15.6" x14ac:dyDescent="0.3">
      <c r="A14" s="13">
        <v>7</v>
      </c>
      <c r="B14" s="5" t="s">
        <v>52</v>
      </c>
      <c r="C14" s="14" t="s">
        <v>39</v>
      </c>
      <c r="D14" s="8"/>
      <c r="E14" s="35">
        <v>9</v>
      </c>
      <c r="F14" s="16"/>
      <c r="G14" s="11">
        <v>15</v>
      </c>
      <c r="H14" s="3"/>
      <c r="I14" s="8"/>
      <c r="J14" s="39"/>
      <c r="K14" s="3"/>
      <c r="L14" s="3"/>
      <c r="M14" s="3"/>
      <c r="N14" s="3"/>
      <c r="O14" s="3"/>
      <c r="P14" s="3"/>
    </row>
    <row r="15" spans="1:16" ht="15.6" x14ac:dyDescent="0.3">
      <c r="A15" s="13">
        <v>8</v>
      </c>
      <c r="B15" s="3"/>
      <c r="C15" s="14" t="s">
        <v>38</v>
      </c>
      <c r="D15" s="8"/>
      <c r="E15" s="35">
        <v>9</v>
      </c>
      <c r="F15" s="16"/>
      <c r="G15" s="11">
        <v>16</v>
      </c>
      <c r="H15" s="3"/>
      <c r="I15" s="8"/>
      <c r="J15" s="39"/>
      <c r="K15" s="3"/>
      <c r="L15" s="3"/>
      <c r="M15" s="3"/>
      <c r="N15" s="3"/>
      <c r="O15" s="3"/>
      <c r="P15" s="3"/>
    </row>
    <row r="16" spans="1:16" ht="15.6" x14ac:dyDescent="0.3">
      <c r="A16" s="3"/>
      <c r="B16" s="3"/>
      <c r="C16" s="3"/>
      <c r="D16" s="3"/>
      <c r="E16" s="3"/>
      <c r="F16" s="3"/>
      <c r="G16" s="13"/>
      <c r="H16" s="7" t="s">
        <v>13</v>
      </c>
      <c r="I16" s="3"/>
      <c r="J16" s="8">
        <f>SUM(E8:E15)+SUM(J8:J15)</f>
        <v>81</v>
      </c>
      <c r="K16" s="3"/>
      <c r="L16" s="3"/>
      <c r="M16" s="3"/>
      <c r="N16" s="3"/>
      <c r="O16" s="3"/>
      <c r="P16" s="3"/>
    </row>
    <row r="17" spans="1:16" ht="15.6" x14ac:dyDescent="0.3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  <c r="L17" s="3"/>
      <c r="M17" s="3"/>
      <c r="N17" s="3"/>
      <c r="O17" s="3"/>
      <c r="P17" s="3"/>
    </row>
    <row r="18" spans="1:16" ht="93.6" x14ac:dyDescent="0.3">
      <c r="A18" s="19"/>
      <c r="B18" s="20" t="s">
        <v>14</v>
      </c>
      <c r="C18" s="21" t="s">
        <v>15</v>
      </c>
      <c r="D18" s="22" t="s">
        <v>16</v>
      </c>
      <c r="E18" s="22" t="s">
        <v>17</v>
      </c>
      <c r="F18" s="22" t="s">
        <v>18</v>
      </c>
      <c r="G18" s="22" t="s">
        <v>19</v>
      </c>
      <c r="H18" s="22" t="s">
        <v>18</v>
      </c>
      <c r="I18" s="22" t="s">
        <v>19</v>
      </c>
      <c r="J18" s="22" t="s">
        <v>20</v>
      </c>
      <c r="K18" s="23" t="s">
        <v>21</v>
      </c>
      <c r="L18" s="24"/>
      <c r="M18" s="23" t="s">
        <v>22</v>
      </c>
      <c r="N18" s="23" t="s">
        <v>23</v>
      </c>
      <c r="O18" s="23" t="s">
        <v>24</v>
      </c>
      <c r="P18" s="23" t="s">
        <v>25</v>
      </c>
    </row>
    <row r="19" spans="1:16" ht="15.6" x14ac:dyDescent="0.3">
      <c r="A19" s="19"/>
      <c r="B19" s="19"/>
      <c r="C19" s="24"/>
      <c r="D19" s="24"/>
      <c r="E19" s="24"/>
      <c r="F19" s="24"/>
      <c r="G19" s="24"/>
      <c r="H19" s="24"/>
      <c r="I19" s="24"/>
      <c r="J19" s="24"/>
      <c r="K19" s="25"/>
      <c r="L19" s="24"/>
      <c r="M19" s="3"/>
      <c r="N19" s="3"/>
      <c r="O19" s="3"/>
      <c r="P19" s="3"/>
    </row>
    <row r="20" spans="1:16" ht="15.6" x14ac:dyDescent="0.3">
      <c r="A20" s="3"/>
      <c r="B20" s="8" t="s">
        <v>26</v>
      </c>
      <c r="C20" s="8">
        <v>1</v>
      </c>
      <c r="D20" s="8">
        <v>1</v>
      </c>
      <c r="E20" s="8"/>
      <c r="F20" s="8"/>
      <c r="G20" s="35">
        <v>0</v>
      </c>
      <c r="H20" s="8"/>
      <c r="I20" s="16"/>
      <c r="J20" s="35">
        <f>F20*G20+H20*I20</f>
        <v>0</v>
      </c>
      <c r="K20" s="16" t="e">
        <f>E20/(J20)</f>
        <v>#DIV/0!</v>
      </c>
      <c r="L20" s="3"/>
      <c r="M20" s="26">
        <v>0</v>
      </c>
      <c r="N20" s="27">
        <f>M20/C20</f>
        <v>0</v>
      </c>
      <c r="O20" s="35">
        <f>J20+'6-7-22'!O20</f>
        <v>108</v>
      </c>
      <c r="P20" s="26">
        <f>M20/O20</f>
        <v>0</v>
      </c>
    </row>
    <row r="21" spans="1:16" ht="15.6" x14ac:dyDescent="0.3">
      <c r="A21" s="3"/>
      <c r="B21" s="3"/>
      <c r="C21" s="3"/>
      <c r="D21" s="3"/>
      <c r="E21" s="3"/>
      <c r="F21" s="3"/>
      <c r="G21" s="40"/>
      <c r="H21" s="3"/>
      <c r="I21" s="28"/>
      <c r="J21" s="40"/>
      <c r="K21" s="28"/>
      <c r="L21" s="3"/>
      <c r="M21" s="29"/>
      <c r="N21" s="3"/>
      <c r="O21" s="3"/>
      <c r="P21" s="3"/>
    </row>
    <row r="22" spans="1:16" ht="15.6" x14ac:dyDescent="0.3">
      <c r="A22" s="3"/>
      <c r="B22" s="8" t="s">
        <v>53</v>
      </c>
      <c r="C22" s="8">
        <v>125400</v>
      </c>
      <c r="D22" s="41"/>
      <c r="E22" s="41"/>
      <c r="F22" s="8"/>
      <c r="G22" s="35"/>
      <c r="H22" s="8"/>
      <c r="I22" s="16"/>
      <c r="J22" s="35">
        <f>F22*G22+H22*I22</f>
        <v>0</v>
      </c>
      <c r="K22" s="16" t="e">
        <f>E22/(J22)</f>
        <v>#DIV/0!</v>
      </c>
      <c r="L22" s="3"/>
      <c r="M22" s="26">
        <f>E22+'6-7-22'!M22</f>
        <v>125400</v>
      </c>
      <c r="N22" s="27">
        <f>M22/C22</f>
        <v>1</v>
      </c>
      <c r="O22" s="35">
        <f>J22+'6-7-22'!O22</f>
        <v>679.75</v>
      </c>
      <c r="P22" s="26">
        <f>M22/O22</f>
        <v>184.47958808385437</v>
      </c>
    </row>
    <row r="23" spans="1:16" ht="15.6" x14ac:dyDescent="0.3">
      <c r="A23" s="3"/>
      <c r="B23" s="3"/>
      <c r="C23" s="3"/>
      <c r="D23" s="3"/>
      <c r="E23" s="3"/>
      <c r="F23" s="3"/>
      <c r="G23" s="40"/>
      <c r="H23" s="3"/>
      <c r="I23" s="28"/>
      <c r="J23" s="40"/>
      <c r="K23" s="28"/>
      <c r="L23" s="3"/>
      <c r="M23" s="29"/>
      <c r="N23" s="3"/>
      <c r="O23" s="36"/>
      <c r="P23" s="29"/>
    </row>
    <row r="24" spans="1:16" ht="15.6" x14ac:dyDescent="0.3">
      <c r="A24" s="3"/>
      <c r="B24" s="8" t="s">
        <v>54</v>
      </c>
      <c r="C24" s="8">
        <v>125400</v>
      </c>
      <c r="D24" s="8"/>
      <c r="E24" s="8"/>
      <c r="F24" s="8"/>
      <c r="G24" s="35"/>
      <c r="H24" s="8"/>
      <c r="I24" s="16"/>
      <c r="J24" s="35">
        <f>F24*G24+H24*I24</f>
        <v>0</v>
      </c>
      <c r="K24" s="16" t="e">
        <f>E24/(J24)</f>
        <v>#DIV/0!</v>
      </c>
      <c r="L24" s="3"/>
      <c r="M24" s="26">
        <f>E24+'6-7-22'!M24</f>
        <v>125400</v>
      </c>
      <c r="N24" s="27">
        <f>M24/C24</f>
        <v>1</v>
      </c>
      <c r="O24" s="35">
        <f>J24+'6-7-22'!O24</f>
        <v>449.75</v>
      </c>
      <c r="P24" s="26">
        <f>M24/O24</f>
        <v>278.82156753752082</v>
      </c>
    </row>
    <row r="25" spans="1:16" ht="15.6" x14ac:dyDescent="0.3">
      <c r="A25" s="3"/>
      <c r="B25" s="3"/>
      <c r="C25" s="3"/>
      <c r="D25" s="3"/>
      <c r="E25" s="3"/>
      <c r="F25" s="3"/>
      <c r="G25" s="36"/>
      <c r="H25" s="3"/>
      <c r="I25" s="4"/>
      <c r="J25" s="36"/>
      <c r="K25" s="4"/>
      <c r="L25" s="3"/>
      <c r="M25" s="29"/>
      <c r="N25" s="3"/>
      <c r="O25" s="3"/>
      <c r="P25" s="3"/>
    </row>
    <row r="26" spans="1:16" ht="15.6" x14ac:dyDescent="0.3">
      <c r="A26" s="3"/>
      <c r="B26" s="8" t="s">
        <v>44</v>
      </c>
      <c r="C26" s="8">
        <v>3040</v>
      </c>
      <c r="D26" s="8"/>
      <c r="E26" s="8"/>
      <c r="F26" s="8"/>
      <c r="G26" s="35"/>
      <c r="H26" s="8"/>
      <c r="I26" s="16"/>
      <c r="J26" s="35">
        <f>F26*G26+H26*I26</f>
        <v>0</v>
      </c>
      <c r="K26" s="16" t="e">
        <f>E26/(J26)</f>
        <v>#DIV/0!</v>
      </c>
      <c r="L26" s="3"/>
      <c r="M26" s="26">
        <f>E26+'6-7-22'!M26</f>
        <v>463</v>
      </c>
      <c r="N26" s="27">
        <f>M26/C26</f>
        <v>0.15230263157894736</v>
      </c>
      <c r="O26" s="35">
        <f>J26+'6-7-22'!O26</f>
        <v>47</v>
      </c>
      <c r="P26" s="26">
        <f>M26/O26</f>
        <v>9.8510638297872344</v>
      </c>
    </row>
    <row r="27" spans="1:16" ht="15.6" x14ac:dyDescent="0.3">
      <c r="A27" s="3"/>
      <c r="B27" s="3"/>
      <c r="C27" s="3"/>
      <c r="D27" s="3"/>
      <c r="E27" s="3"/>
      <c r="F27" s="3"/>
      <c r="G27" s="36"/>
      <c r="H27" s="3"/>
      <c r="I27" s="4"/>
      <c r="J27" s="36"/>
      <c r="K27" s="4"/>
      <c r="L27" s="3"/>
      <c r="M27" s="29"/>
      <c r="N27" s="3"/>
      <c r="O27" s="3"/>
      <c r="P27" s="3"/>
    </row>
    <row r="28" spans="1:16" ht="15.6" x14ac:dyDescent="0.3">
      <c r="A28" s="3"/>
      <c r="B28" s="8" t="s">
        <v>45</v>
      </c>
      <c r="C28" s="8">
        <v>3040</v>
      </c>
      <c r="D28" s="8"/>
      <c r="E28" s="8"/>
      <c r="F28" s="8"/>
      <c r="G28" s="35"/>
      <c r="H28" s="8"/>
      <c r="I28" s="16"/>
      <c r="J28" s="35">
        <f>F28*G28+H28*I28</f>
        <v>0</v>
      </c>
      <c r="K28" s="16" t="e">
        <f>E28/(J28)</f>
        <v>#DIV/0!</v>
      </c>
      <c r="L28" s="3"/>
      <c r="M28" s="26">
        <f>E28+'6-7-22'!M28</f>
        <v>463</v>
      </c>
      <c r="N28" s="27">
        <f>M28/C28</f>
        <v>0.15230263157894736</v>
      </c>
      <c r="O28" s="35">
        <f>J28+'6-7-22'!O28</f>
        <v>16</v>
      </c>
      <c r="P28" s="26">
        <f>M28/O28</f>
        <v>28.9375</v>
      </c>
    </row>
    <row r="29" spans="1:16" ht="15.6" x14ac:dyDescent="0.3">
      <c r="A29" s="3"/>
      <c r="B29" s="3"/>
      <c r="C29" s="3"/>
      <c r="D29" s="3"/>
      <c r="E29" s="3"/>
      <c r="F29" s="3"/>
      <c r="G29" s="36"/>
      <c r="H29" s="3"/>
      <c r="I29" s="4"/>
      <c r="J29" s="36"/>
      <c r="K29" s="4"/>
      <c r="L29" s="3"/>
      <c r="M29" s="29"/>
      <c r="N29" s="3"/>
      <c r="O29" s="3"/>
      <c r="P29" s="3"/>
    </row>
    <row r="30" spans="1:16" ht="15.6" x14ac:dyDescent="0.3">
      <c r="A30" s="3"/>
      <c r="B30" s="8" t="s">
        <v>47</v>
      </c>
      <c r="C30" s="8">
        <v>125400</v>
      </c>
      <c r="D30" s="8"/>
      <c r="E30" s="8"/>
      <c r="F30" s="8"/>
      <c r="G30" s="35"/>
      <c r="H30" s="8"/>
      <c r="I30" s="35"/>
      <c r="J30" s="35">
        <f>F30*G30+H30*I30</f>
        <v>0</v>
      </c>
      <c r="K30" s="16" t="e">
        <f>E30/(J30)</f>
        <v>#DIV/0!</v>
      </c>
      <c r="L30" s="3"/>
      <c r="M30" s="26">
        <f>E30+'6-7-22'!M30</f>
        <v>0</v>
      </c>
      <c r="N30" s="27">
        <f>M30/C30</f>
        <v>0</v>
      </c>
      <c r="O30" s="35">
        <f>J30+'6-7-22'!O30</f>
        <v>182.25</v>
      </c>
      <c r="P30" s="26">
        <f>M30/O30</f>
        <v>0</v>
      </c>
    </row>
    <row r="31" spans="1:16" ht="15.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7"/>
      <c r="O31" s="3"/>
      <c r="P31" s="3"/>
    </row>
    <row r="32" spans="1:16" ht="15.6" x14ac:dyDescent="0.3">
      <c r="A32" s="3"/>
      <c r="B32" s="8" t="s">
        <v>46</v>
      </c>
      <c r="C32" s="8">
        <v>324</v>
      </c>
      <c r="D32" s="8"/>
      <c r="E32" s="8"/>
      <c r="F32" s="8"/>
      <c r="G32" s="35"/>
      <c r="H32" s="8"/>
      <c r="I32" s="16"/>
      <c r="J32" s="35">
        <f>F32*G32+H32*I32</f>
        <v>0</v>
      </c>
      <c r="K32" s="16" t="e">
        <f>E32/(J32)</f>
        <v>#DIV/0!</v>
      </c>
      <c r="L32" s="3"/>
      <c r="M32" s="26">
        <f>E32+'6-7-22'!M32</f>
        <v>0</v>
      </c>
      <c r="N32" s="27">
        <f>M32/C32</f>
        <v>0</v>
      </c>
      <c r="O32" s="35">
        <f>J32+'6-7-22'!O32</f>
        <v>0</v>
      </c>
      <c r="P32" s="26" t="e">
        <f>M32/O32</f>
        <v>#DIV/0!</v>
      </c>
    </row>
    <row r="33" spans="1:16" ht="15.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7"/>
      <c r="O33" s="3"/>
      <c r="P33" s="3"/>
    </row>
    <row r="34" spans="1:16" ht="15.6" x14ac:dyDescent="0.3">
      <c r="A34" s="3"/>
      <c r="B34" s="8" t="s">
        <v>48</v>
      </c>
      <c r="C34" s="8">
        <v>115000</v>
      </c>
      <c r="D34" s="8"/>
      <c r="E34" s="8"/>
      <c r="F34" s="8"/>
      <c r="G34" s="35"/>
      <c r="H34" s="8"/>
      <c r="I34" s="16"/>
      <c r="J34" s="35">
        <f>F34*G34+H34*I34</f>
        <v>0</v>
      </c>
      <c r="K34" s="16" t="e">
        <f>E34/(J34)</f>
        <v>#DIV/0!</v>
      </c>
      <c r="L34" s="3"/>
      <c r="M34" s="26">
        <f>E34+'6-7-22'!M34</f>
        <v>0</v>
      </c>
      <c r="N34" s="27">
        <f>M34/C34</f>
        <v>0</v>
      </c>
      <c r="O34" s="35">
        <f>J34+'6-7-22'!O34</f>
        <v>0</v>
      </c>
      <c r="P34" s="26" t="e">
        <f>M34/O34</f>
        <v>#DIV/0!</v>
      </c>
    </row>
    <row r="35" spans="1:16" ht="15.6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27"/>
      <c r="O35" s="3"/>
      <c r="P35" s="3"/>
    </row>
    <row r="36" spans="1:16" ht="15.6" x14ac:dyDescent="0.3">
      <c r="A36" s="3"/>
      <c r="B36" s="8" t="s">
        <v>49</v>
      </c>
      <c r="C36" s="8">
        <v>8</v>
      </c>
      <c r="D36" s="8"/>
      <c r="E36" s="8"/>
      <c r="F36" s="8"/>
      <c r="G36" s="35"/>
      <c r="H36" s="8"/>
      <c r="I36" s="16"/>
      <c r="J36" s="35">
        <f>F36*G36+H36*I36</f>
        <v>0</v>
      </c>
      <c r="K36" s="16" t="e">
        <f>E36/(J36)</f>
        <v>#DIV/0!</v>
      </c>
      <c r="L36" s="3"/>
      <c r="M36" s="26">
        <f>E36+'6-7-22'!M36</f>
        <v>0</v>
      </c>
      <c r="N36" s="27">
        <f>M36/C36</f>
        <v>0</v>
      </c>
      <c r="O36" s="35">
        <f>J36+'6-7-22'!O36</f>
        <v>24</v>
      </c>
      <c r="P36" s="26">
        <f>M36/O36</f>
        <v>0</v>
      </c>
    </row>
    <row r="37" spans="1:16" ht="15.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27"/>
      <c r="O37" s="3"/>
      <c r="P37" s="3"/>
    </row>
    <row r="38" spans="1:16" ht="15.6" x14ac:dyDescent="0.3">
      <c r="A38" s="3"/>
      <c r="B38" s="8" t="s">
        <v>50</v>
      </c>
      <c r="C38" s="8">
        <f>2760+480</f>
        <v>3240</v>
      </c>
      <c r="D38" s="8"/>
      <c r="E38" s="8"/>
      <c r="F38" s="8"/>
      <c r="G38" s="35"/>
      <c r="H38" s="8"/>
      <c r="I38" s="16"/>
      <c r="J38" s="35">
        <f>F38*G38+H38*I38</f>
        <v>0</v>
      </c>
      <c r="K38" s="16" t="e">
        <f>E38/(J38)</f>
        <v>#DIV/0!</v>
      </c>
      <c r="L38" s="3"/>
      <c r="M38" s="26">
        <f>E38+'6-7-22'!M38</f>
        <v>555</v>
      </c>
      <c r="N38" s="27">
        <f>M38/C38</f>
        <v>0.17129629629629631</v>
      </c>
      <c r="O38" s="35">
        <f>J38+'6-7-22'!O38</f>
        <v>25.5</v>
      </c>
      <c r="P38" s="26">
        <f>M38/O38</f>
        <v>21.764705882352942</v>
      </c>
    </row>
    <row r="39" spans="1:16" ht="15.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7"/>
      <c r="O39" s="3"/>
      <c r="P39" s="3"/>
    </row>
    <row r="40" spans="1:16" ht="15.6" x14ac:dyDescent="0.3">
      <c r="A40" s="3"/>
      <c r="B40" s="8" t="s">
        <v>115</v>
      </c>
      <c r="C40" s="8">
        <v>25</v>
      </c>
      <c r="D40" s="8"/>
      <c r="E40" s="8"/>
      <c r="F40" s="8"/>
      <c r="G40" s="35"/>
      <c r="H40" s="8"/>
      <c r="I40" s="16"/>
      <c r="J40" s="35">
        <f>F40*G40+H40*I40</f>
        <v>0</v>
      </c>
      <c r="K40" s="16" t="e">
        <f>E40/(J40)</f>
        <v>#DIV/0!</v>
      </c>
      <c r="L40" s="3"/>
      <c r="M40" s="26">
        <f>E40+'6-7-22'!M40</f>
        <v>0</v>
      </c>
      <c r="N40" s="27">
        <f>M40/C40</f>
        <v>0</v>
      </c>
      <c r="O40" s="35">
        <f>J40+'6-7-22'!O40</f>
        <v>0</v>
      </c>
      <c r="P40" s="26" t="e">
        <f>M40/O40</f>
        <v>#DIV/0!</v>
      </c>
    </row>
    <row r="41" spans="1:16" ht="15.6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27"/>
      <c r="O41" s="3"/>
      <c r="P41" s="3"/>
    </row>
    <row r="42" spans="1:16" ht="15.6" x14ac:dyDescent="0.3">
      <c r="A42" s="3"/>
      <c r="B42" s="8" t="s">
        <v>113</v>
      </c>
      <c r="C42" s="8" t="s">
        <v>52</v>
      </c>
      <c r="D42" s="8"/>
      <c r="E42" s="8"/>
      <c r="F42" s="8"/>
      <c r="G42" s="35"/>
      <c r="H42" s="8"/>
      <c r="I42" s="16"/>
      <c r="J42" s="35">
        <f>F42*G42+H42*I42</f>
        <v>0</v>
      </c>
      <c r="K42" s="16" t="e">
        <f>E42/(J42)</f>
        <v>#DIV/0!</v>
      </c>
      <c r="L42" s="3"/>
      <c r="M42" s="26">
        <f>E42+'6-7-22'!M42</f>
        <v>0</v>
      </c>
      <c r="N42" s="53" t="e">
        <f>M42/C42</f>
        <v>#VALUE!</v>
      </c>
      <c r="O42" s="35">
        <f>J42+'6-7-22'!O42</f>
        <v>0</v>
      </c>
      <c r="P42" s="26" t="e">
        <f>M42/O42</f>
        <v>#DIV/0!</v>
      </c>
    </row>
    <row r="43" spans="1:16" ht="15.6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27"/>
      <c r="O43" s="3"/>
      <c r="P43" s="3"/>
    </row>
    <row r="44" spans="1:16" ht="15.6" x14ac:dyDescent="0.3">
      <c r="A44" s="3"/>
      <c r="B44" s="8" t="s">
        <v>114</v>
      </c>
      <c r="C44" s="8" t="s">
        <v>52</v>
      </c>
      <c r="D44" s="8"/>
      <c r="E44" s="8" t="s">
        <v>139</v>
      </c>
      <c r="F44" s="8">
        <v>9</v>
      </c>
      <c r="G44" s="35">
        <v>7</v>
      </c>
      <c r="H44" s="8"/>
      <c r="I44" s="16"/>
      <c r="J44" s="35">
        <f>F44*G44+H44*I44</f>
        <v>63</v>
      </c>
      <c r="K44" s="16" t="e">
        <f>E44/(J44)</f>
        <v>#VALUE!</v>
      </c>
      <c r="L44" s="3"/>
      <c r="M44" s="26" t="e">
        <f>E44+'6-7-22'!M44</f>
        <v>#VALUE!</v>
      </c>
      <c r="N44" s="53" t="e">
        <f>M44/C44</f>
        <v>#VALUE!</v>
      </c>
      <c r="O44" s="35">
        <f>J44+'6-7-22'!O44</f>
        <v>63</v>
      </c>
      <c r="P44" s="26" t="e">
        <f>M44/O44</f>
        <v>#VALUE!</v>
      </c>
    </row>
    <row r="45" spans="1:16" ht="15.6" x14ac:dyDescent="0.3">
      <c r="A45" s="3"/>
      <c r="B45" s="3"/>
      <c r="C45" s="3"/>
      <c r="D45" s="3"/>
      <c r="E45" s="3" t="s">
        <v>145</v>
      </c>
      <c r="F45" s="3"/>
      <c r="G45" s="3"/>
      <c r="H45" s="3"/>
      <c r="I45" s="3"/>
      <c r="J45" s="3"/>
      <c r="K45" s="3"/>
      <c r="L45" s="3"/>
      <c r="M45" s="3"/>
      <c r="N45" s="27"/>
      <c r="O45" s="3"/>
      <c r="P45" s="3"/>
    </row>
    <row r="46" spans="1:16" ht="15.6" x14ac:dyDescent="0.3">
      <c r="A46" s="3"/>
      <c r="B46" s="8" t="s">
        <v>75</v>
      </c>
      <c r="C46" s="8"/>
      <c r="D46" s="8" t="s">
        <v>140</v>
      </c>
      <c r="E46" s="8"/>
      <c r="F46" s="8">
        <v>9</v>
      </c>
      <c r="G46" s="35">
        <v>2</v>
      </c>
      <c r="H46" s="8"/>
      <c r="I46" s="16"/>
      <c r="J46" s="35">
        <f>F46*G46+H46*I46</f>
        <v>18</v>
      </c>
      <c r="K46" s="16">
        <f>E46/(J46)</f>
        <v>0</v>
      </c>
      <c r="L46" s="3"/>
      <c r="M46" s="26">
        <f>E46+'6-7-22'!M46</f>
        <v>0</v>
      </c>
      <c r="N46" s="53" t="e">
        <f>M46/C46</f>
        <v>#DIV/0!</v>
      </c>
      <c r="O46" s="35">
        <f>J46+'6-7-22'!O46</f>
        <v>225.75</v>
      </c>
      <c r="P46" s="26">
        <f>M46/O46</f>
        <v>0</v>
      </c>
    </row>
    <row r="47" spans="1:16" ht="15.6" x14ac:dyDescent="0.3">
      <c r="A47" s="3"/>
      <c r="B47" s="3" t="s">
        <v>27</v>
      </c>
      <c r="C47" s="3"/>
      <c r="D47" s="3" t="s">
        <v>141</v>
      </c>
      <c r="E47" s="3"/>
      <c r="F47" s="3"/>
      <c r="G47" s="3"/>
      <c r="H47" s="30"/>
      <c r="I47" s="4"/>
      <c r="J47" s="3">
        <f>J20+J22+J24+J26+J28+J30+J32+J34+J36+J38+J40+J42+J44+J46</f>
        <v>81</v>
      </c>
      <c r="K47" s="3"/>
      <c r="L47" s="3"/>
      <c r="M47" s="3"/>
      <c r="N47" s="3"/>
      <c r="O47" s="3">
        <f>O20+O22+O24+O26+O28+O30+O32+O34+O36+O38+O40+O42+O44+O46</f>
        <v>1821</v>
      </c>
      <c r="P47" s="3"/>
    </row>
    <row r="48" spans="1:16" ht="15.6" x14ac:dyDescent="0.3">
      <c r="A48" s="3"/>
      <c r="B48" s="3"/>
      <c r="C48" s="3"/>
      <c r="D48" s="3"/>
      <c r="E48" s="3"/>
      <c r="F48" s="3"/>
      <c r="G48" s="3"/>
      <c r="H48" s="3"/>
      <c r="I48" s="4"/>
      <c r="J48" s="3"/>
      <c r="K48" s="3"/>
      <c r="L48" s="3"/>
      <c r="M48" s="3"/>
      <c r="N48" s="3"/>
      <c r="O48" s="3"/>
      <c r="P48" s="3"/>
    </row>
    <row r="49" spans="1:16" ht="15.6" x14ac:dyDescent="0.3">
      <c r="A49" s="3"/>
      <c r="B49" s="3" t="s">
        <v>28</v>
      </c>
      <c r="C49" s="3" t="s">
        <v>142</v>
      </c>
      <c r="D49" s="3"/>
      <c r="E49" s="3"/>
      <c r="F49" s="3"/>
      <c r="G49" s="3"/>
      <c r="H49" s="3"/>
      <c r="I49" s="4"/>
      <c r="J49" s="3"/>
      <c r="K49" s="3"/>
      <c r="L49" s="3"/>
      <c r="M49" s="3"/>
      <c r="N49" s="3"/>
      <c r="O49" s="3"/>
      <c r="P49" s="3"/>
    </row>
    <row r="50" spans="1:16" ht="15.6" x14ac:dyDescent="0.3">
      <c r="C50" s="33"/>
    </row>
    <row r="51" spans="1:16" ht="15.6" x14ac:dyDescent="0.3">
      <c r="B51" s="3" t="s">
        <v>32</v>
      </c>
      <c r="C51" s="33" t="s">
        <v>143</v>
      </c>
    </row>
    <row r="52" spans="1:16" ht="15.6" x14ac:dyDescent="0.3">
      <c r="C52" s="33"/>
    </row>
    <row r="53" spans="1:16" ht="15.6" x14ac:dyDescent="0.3">
      <c r="B53" s="3" t="s">
        <v>33</v>
      </c>
      <c r="C53" s="3" t="s">
        <v>144</v>
      </c>
    </row>
    <row r="54" spans="1:16" ht="15.6" x14ac:dyDescent="0.3">
      <c r="C54" s="33" t="s">
        <v>52</v>
      </c>
    </row>
    <row r="55" spans="1:16" ht="15.6" x14ac:dyDescent="0.3">
      <c r="C55" s="33" t="s">
        <v>52</v>
      </c>
    </row>
    <row r="57" spans="1:16" x14ac:dyDescent="0.3">
      <c r="C57" t="s">
        <v>52</v>
      </c>
      <c r="D57" t="s">
        <v>52</v>
      </c>
    </row>
    <row r="58" spans="1:16" x14ac:dyDescent="0.3">
      <c r="C58" t="s">
        <v>52</v>
      </c>
      <c r="D58" t="s">
        <v>52</v>
      </c>
    </row>
  </sheetData>
  <mergeCells count="2">
    <mergeCell ref="A1:G1"/>
    <mergeCell ref="H7:I7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A6F63-0B69-446F-9AA8-BA60B09C6469}">
  <dimension ref="A1:P58"/>
  <sheetViews>
    <sheetView topLeftCell="A22" zoomScale="85" zoomScaleNormal="85" workbookViewId="0">
      <selection activeCell="M42" sqref="M42"/>
    </sheetView>
  </sheetViews>
  <sheetFormatPr defaultRowHeight="14.4" x14ac:dyDescent="0.3"/>
  <cols>
    <col min="1" max="1" width="11.33203125" customWidth="1"/>
    <col min="2" max="2" width="29.33203125" customWidth="1"/>
    <col min="3" max="3" width="22.109375" customWidth="1"/>
    <col min="4" max="4" width="14.88671875" customWidth="1"/>
    <col min="5" max="5" width="16.6640625" customWidth="1"/>
    <col min="6" max="6" width="17.44140625" customWidth="1"/>
    <col min="8" max="8" width="20.44140625" customWidth="1"/>
    <col min="13" max="13" width="10.6640625" customWidth="1"/>
    <col min="14" max="14" width="10" bestFit="1" customWidth="1"/>
    <col min="15" max="15" width="10.6640625" customWidth="1"/>
  </cols>
  <sheetData>
    <row r="1" spans="1:16" ht="18" x14ac:dyDescent="0.35">
      <c r="A1" s="66" t="s">
        <v>0</v>
      </c>
      <c r="B1" s="66"/>
      <c r="C1" s="66"/>
      <c r="D1" s="66"/>
      <c r="E1" s="66"/>
      <c r="F1" s="66"/>
      <c r="G1" s="66"/>
      <c r="H1" s="1"/>
      <c r="I1" s="2"/>
      <c r="J1" s="1"/>
      <c r="K1" s="1"/>
      <c r="L1" s="1"/>
      <c r="M1" s="1"/>
      <c r="N1" s="1"/>
      <c r="O1" s="1"/>
      <c r="P1" s="1"/>
    </row>
    <row r="2" spans="1:16" ht="15.6" x14ac:dyDescent="0.3">
      <c r="A2" s="3"/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</row>
    <row r="3" spans="1:16" ht="15.6" x14ac:dyDescent="0.3">
      <c r="A3" s="3"/>
      <c r="B3" s="5" t="s">
        <v>1</v>
      </c>
      <c r="C3" s="6" t="s">
        <v>43</v>
      </c>
      <c r="D3" s="7"/>
      <c r="E3" s="3"/>
      <c r="F3" s="5" t="s">
        <v>2</v>
      </c>
      <c r="G3" s="8">
        <v>4355</v>
      </c>
      <c r="H3" s="5" t="s">
        <v>41</v>
      </c>
      <c r="I3" s="36">
        <v>49</v>
      </c>
      <c r="J3" s="3"/>
      <c r="K3" s="3"/>
      <c r="L3" s="3"/>
      <c r="M3" s="3"/>
      <c r="N3" s="3"/>
      <c r="O3" s="3"/>
      <c r="P3" s="3"/>
    </row>
    <row r="4" spans="1:16" ht="15.6" x14ac:dyDescent="0.3">
      <c r="A4" s="3"/>
      <c r="B4" s="5" t="s">
        <v>3</v>
      </c>
      <c r="C4" s="37">
        <v>300155</v>
      </c>
      <c r="D4" s="7"/>
      <c r="E4" s="3"/>
      <c r="F4" s="5" t="s">
        <v>4</v>
      </c>
      <c r="G4" s="8">
        <f>J16+'6-6-22'!G4</f>
        <v>1740</v>
      </c>
      <c r="H4" s="34" t="s">
        <v>42</v>
      </c>
      <c r="I4" s="4">
        <v>23</v>
      </c>
      <c r="J4" s="3"/>
      <c r="K4" s="3"/>
      <c r="L4" s="3"/>
      <c r="M4" s="3"/>
      <c r="N4" s="3"/>
      <c r="O4" s="3"/>
      <c r="P4" s="3"/>
    </row>
    <row r="5" spans="1:16" ht="15.6" x14ac:dyDescent="0.3">
      <c r="A5" s="3"/>
      <c r="B5" s="5" t="s">
        <v>5</v>
      </c>
      <c r="C5" s="38">
        <v>44719</v>
      </c>
      <c r="D5" s="3"/>
      <c r="E5" s="3"/>
      <c r="F5" s="3"/>
      <c r="G5" s="3"/>
      <c r="H5" s="3"/>
      <c r="I5" s="4"/>
      <c r="J5" s="3"/>
      <c r="K5" s="3"/>
      <c r="L5" s="3"/>
      <c r="M5" s="3"/>
      <c r="N5" s="3"/>
      <c r="O5" s="3"/>
      <c r="P5" s="3"/>
    </row>
    <row r="6" spans="1:16" ht="15.6" x14ac:dyDescent="0.3">
      <c r="A6" s="3"/>
      <c r="B6" s="5"/>
      <c r="C6" s="3"/>
      <c r="D6" s="3"/>
      <c r="E6" s="3"/>
      <c r="F6" s="3"/>
      <c r="G6" s="3"/>
      <c r="H6" s="3"/>
      <c r="I6" s="4"/>
      <c r="J6" s="3"/>
      <c r="K6" s="3"/>
      <c r="L6" s="3"/>
      <c r="M6" s="3"/>
      <c r="N6" s="3"/>
      <c r="O6" s="3"/>
      <c r="P6" s="3"/>
    </row>
    <row r="7" spans="1:16" ht="15.6" x14ac:dyDescent="0.3">
      <c r="A7" s="10" t="s">
        <v>6</v>
      </c>
      <c r="B7" s="11"/>
      <c r="C7" s="12" t="s">
        <v>7</v>
      </c>
      <c r="D7" s="3"/>
      <c r="E7" s="12" t="s">
        <v>8</v>
      </c>
      <c r="F7" s="12" t="s">
        <v>34</v>
      </c>
      <c r="G7" s="3"/>
      <c r="H7" s="67" t="s">
        <v>7</v>
      </c>
      <c r="I7" s="67"/>
      <c r="J7" s="12" t="s">
        <v>8</v>
      </c>
      <c r="K7" s="3"/>
      <c r="L7" s="3"/>
      <c r="M7" s="3"/>
      <c r="N7" s="3"/>
      <c r="O7" s="3"/>
      <c r="P7" s="3"/>
    </row>
    <row r="8" spans="1:16" ht="15.6" x14ac:dyDescent="0.3">
      <c r="A8" s="13">
        <v>1</v>
      </c>
      <c r="B8" s="5" t="s">
        <v>9</v>
      </c>
      <c r="C8" s="14" t="s">
        <v>35</v>
      </c>
      <c r="D8" s="15"/>
      <c r="E8" s="35">
        <v>9</v>
      </c>
      <c r="F8" s="16">
        <v>66</v>
      </c>
      <c r="G8" s="11">
        <v>9</v>
      </c>
      <c r="H8" s="14" t="s">
        <v>40</v>
      </c>
      <c r="I8" s="8"/>
      <c r="J8" s="39">
        <v>9</v>
      </c>
      <c r="K8" s="3"/>
      <c r="L8" s="3"/>
      <c r="M8" s="3"/>
      <c r="N8" s="3"/>
      <c r="O8" s="3"/>
      <c r="P8" s="3"/>
    </row>
    <row r="9" spans="1:16" ht="15.6" x14ac:dyDescent="0.3">
      <c r="A9" s="13">
        <v>2</v>
      </c>
      <c r="B9" s="5" t="s">
        <v>10</v>
      </c>
      <c r="C9" s="14" t="s">
        <v>37</v>
      </c>
      <c r="D9" s="8"/>
      <c r="E9" s="35">
        <v>9</v>
      </c>
      <c r="F9" s="16"/>
      <c r="G9" s="11">
        <v>10</v>
      </c>
      <c r="H9" s="14"/>
      <c r="I9" s="8"/>
      <c r="J9" s="39"/>
      <c r="K9" s="3"/>
      <c r="L9" s="3"/>
      <c r="M9" s="3"/>
      <c r="N9" s="3"/>
      <c r="O9" s="3"/>
      <c r="P9" s="3"/>
    </row>
    <row r="10" spans="1:16" ht="15.6" x14ac:dyDescent="0.3">
      <c r="A10" s="13">
        <v>3</v>
      </c>
      <c r="B10" s="5" t="s">
        <v>11</v>
      </c>
      <c r="C10" s="14" t="s">
        <v>36</v>
      </c>
      <c r="D10" s="8"/>
      <c r="E10" s="35">
        <v>9</v>
      </c>
      <c r="F10" s="16">
        <v>78</v>
      </c>
      <c r="G10" s="11">
        <v>11</v>
      </c>
      <c r="H10" s="3"/>
      <c r="I10" s="8"/>
      <c r="J10" s="39"/>
      <c r="K10" s="3"/>
      <c r="L10" s="3"/>
      <c r="M10" s="3"/>
      <c r="N10" s="3"/>
      <c r="O10" s="3"/>
      <c r="P10" s="3"/>
    </row>
    <row r="11" spans="1:16" ht="15.6" x14ac:dyDescent="0.3">
      <c r="A11" s="13">
        <v>4</v>
      </c>
      <c r="B11" s="5" t="s">
        <v>12</v>
      </c>
      <c r="C11" s="14" t="s">
        <v>29</v>
      </c>
      <c r="D11" s="8"/>
      <c r="E11" s="35">
        <v>9</v>
      </c>
      <c r="F11" s="16"/>
      <c r="G11" s="11">
        <v>12</v>
      </c>
      <c r="H11" s="3"/>
      <c r="I11" s="8"/>
      <c r="J11" s="39"/>
      <c r="K11" s="3"/>
      <c r="L11" s="3"/>
      <c r="M11" s="3"/>
      <c r="N11" s="3"/>
      <c r="O11" s="3"/>
      <c r="P11" s="3"/>
    </row>
    <row r="12" spans="1:16" ht="15.6" x14ac:dyDescent="0.3">
      <c r="A12" s="13">
        <v>5</v>
      </c>
      <c r="B12" s="3"/>
      <c r="C12" s="31" t="s">
        <v>30</v>
      </c>
      <c r="D12" s="8"/>
      <c r="E12" s="35">
        <v>9</v>
      </c>
      <c r="F12" s="16"/>
      <c r="G12" s="11">
        <v>13</v>
      </c>
      <c r="H12" s="3"/>
      <c r="I12" s="8"/>
      <c r="J12" s="39"/>
      <c r="K12" s="3"/>
      <c r="L12" s="3"/>
      <c r="M12" s="3"/>
      <c r="N12" s="3"/>
      <c r="O12" s="3"/>
      <c r="P12" s="3"/>
    </row>
    <row r="13" spans="1:16" ht="15.6" x14ac:dyDescent="0.3">
      <c r="A13" s="13">
        <v>6</v>
      </c>
      <c r="B13" s="3"/>
      <c r="C13" s="14" t="s">
        <v>31</v>
      </c>
      <c r="D13" s="8"/>
      <c r="E13" s="35">
        <v>9</v>
      </c>
      <c r="F13" s="16">
        <v>74</v>
      </c>
      <c r="G13" s="11">
        <v>14</v>
      </c>
      <c r="H13" s="18"/>
      <c r="I13" s="8"/>
      <c r="J13" s="39"/>
      <c r="K13" s="3"/>
      <c r="L13" s="3"/>
      <c r="M13" s="3"/>
      <c r="N13" s="3"/>
      <c r="O13" s="3"/>
      <c r="P13" s="3"/>
    </row>
    <row r="14" spans="1:16" ht="15.6" x14ac:dyDescent="0.3">
      <c r="A14" s="13">
        <v>7</v>
      </c>
      <c r="B14" s="5" t="s">
        <v>52</v>
      </c>
      <c r="C14" s="14" t="s">
        <v>39</v>
      </c>
      <c r="D14" s="8"/>
      <c r="E14" s="35">
        <v>9</v>
      </c>
      <c r="F14" s="16"/>
      <c r="G14" s="11">
        <v>15</v>
      </c>
      <c r="H14" s="3"/>
      <c r="I14" s="8"/>
      <c r="J14" s="39"/>
      <c r="K14" s="3"/>
      <c r="L14" s="3"/>
      <c r="M14" s="3"/>
      <c r="N14" s="3"/>
      <c r="O14" s="3"/>
      <c r="P14" s="3"/>
    </row>
    <row r="15" spans="1:16" ht="15.6" x14ac:dyDescent="0.3">
      <c r="A15" s="13">
        <v>8</v>
      </c>
      <c r="B15" s="3"/>
      <c r="C15" s="14" t="s">
        <v>38</v>
      </c>
      <c r="D15" s="8"/>
      <c r="E15" s="35">
        <v>9</v>
      </c>
      <c r="F15" s="16"/>
      <c r="G15" s="11">
        <v>16</v>
      </c>
      <c r="H15" s="3"/>
      <c r="I15" s="8"/>
      <c r="J15" s="39"/>
      <c r="K15" s="3"/>
      <c r="L15" s="3"/>
      <c r="M15" s="3"/>
      <c r="N15" s="3"/>
      <c r="O15" s="3"/>
      <c r="P15" s="3"/>
    </row>
    <row r="16" spans="1:16" ht="15.6" x14ac:dyDescent="0.3">
      <c r="A16" s="3"/>
      <c r="B16" s="3"/>
      <c r="C16" s="3"/>
      <c r="D16" s="3"/>
      <c r="E16" s="3"/>
      <c r="F16" s="3"/>
      <c r="G16" s="13"/>
      <c r="H16" s="7" t="s">
        <v>13</v>
      </c>
      <c r="I16" s="3"/>
      <c r="J16" s="8">
        <f>SUM(E8:E15)+SUM(J8:J15)</f>
        <v>81</v>
      </c>
      <c r="K16" s="3"/>
      <c r="L16" s="3"/>
      <c r="M16" s="3"/>
      <c r="N16" s="3"/>
      <c r="O16" s="3"/>
      <c r="P16" s="3"/>
    </row>
    <row r="17" spans="1:16" ht="15.6" x14ac:dyDescent="0.3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  <c r="L17" s="3"/>
      <c r="M17" s="3"/>
      <c r="N17" s="3"/>
      <c r="O17" s="3"/>
      <c r="P17" s="3"/>
    </row>
    <row r="18" spans="1:16" ht="93.6" x14ac:dyDescent="0.3">
      <c r="A18" s="19"/>
      <c r="B18" s="20" t="s">
        <v>14</v>
      </c>
      <c r="C18" s="21" t="s">
        <v>15</v>
      </c>
      <c r="D18" s="22" t="s">
        <v>16</v>
      </c>
      <c r="E18" s="22" t="s">
        <v>17</v>
      </c>
      <c r="F18" s="22" t="s">
        <v>18</v>
      </c>
      <c r="G18" s="22" t="s">
        <v>19</v>
      </c>
      <c r="H18" s="22" t="s">
        <v>18</v>
      </c>
      <c r="I18" s="22" t="s">
        <v>19</v>
      </c>
      <c r="J18" s="22" t="s">
        <v>20</v>
      </c>
      <c r="K18" s="23" t="s">
        <v>21</v>
      </c>
      <c r="L18" s="24"/>
      <c r="M18" s="23" t="s">
        <v>22</v>
      </c>
      <c r="N18" s="23" t="s">
        <v>23</v>
      </c>
      <c r="O18" s="23" t="s">
        <v>24</v>
      </c>
      <c r="P18" s="23" t="s">
        <v>25</v>
      </c>
    </row>
    <row r="19" spans="1:16" ht="15.6" x14ac:dyDescent="0.3">
      <c r="A19" s="19"/>
      <c r="B19" s="19"/>
      <c r="C19" s="24"/>
      <c r="D19" s="24"/>
      <c r="E19" s="24"/>
      <c r="F19" s="24"/>
      <c r="G19" s="24"/>
      <c r="H19" s="24"/>
      <c r="I19" s="24"/>
      <c r="J19" s="24"/>
      <c r="K19" s="25"/>
      <c r="L19" s="24"/>
      <c r="M19" s="3"/>
      <c r="N19" s="3"/>
      <c r="O19" s="3"/>
      <c r="P19" s="3"/>
    </row>
    <row r="20" spans="1:16" ht="15.6" x14ac:dyDescent="0.3">
      <c r="A20" s="3"/>
      <c r="B20" s="8" t="s">
        <v>26</v>
      </c>
      <c r="C20" s="8">
        <v>1</v>
      </c>
      <c r="D20" s="8">
        <v>1</v>
      </c>
      <c r="E20" s="8"/>
      <c r="F20" s="8"/>
      <c r="G20" s="35">
        <v>0</v>
      </c>
      <c r="H20" s="8"/>
      <c r="I20" s="16"/>
      <c r="J20" s="35">
        <f>F20*G20+H20*I20</f>
        <v>0</v>
      </c>
      <c r="K20" s="16" t="e">
        <f>E20/(J20)</f>
        <v>#DIV/0!</v>
      </c>
      <c r="L20" s="3"/>
      <c r="M20" s="26">
        <v>0</v>
      </c>
      <c r="N20" s="27">
        <f>M20/C20</f>
        <v>0</v>
      </c>
      <c r="O20" s="35">
        <f>J20+'6-6-22'!O20</f>
        <v>108</v>
      </c>
      <c r="P20" s="26">
        <f>M20/O20</f>
        <v>0</v>
      </c>
    </row>
    <row r="21" spans="1:16" ht="15.6" x14ac:dyDescent="0.3">
      <c r="A21" s="3"/>
      <c r="B21" s="3"/>
      <c r="C21" s="3"/>
      <c r="D21" s="3"/>
      <c r="E21" s="3"/>
      <c r="F21" s="3"/>
      <c r="G21" s="40"/>
      <c r="H21" s="3"/>
      <c r="I21" s="28"/>
      <c r="J21" s="40"/>
      <c r="K21" s="28"/>
      <c r="L21" s="3"/>
      <c r="M21" s="29"/>
      <c r="N21" s="3"/>
      <c r="O21" s="3"/>
      <c r="P21" s="3"/>
    </row>
    <row r="22" spans="1:16" ht="15.6" x14ac:dyDescent="0.3">
      <c r="A22" s="3"/>
      <c r="B22" s="8" t="s">
        <v>53</v>
      </c>
      <c r="C22" s="8">
        <v>125400</v>
      </c>
      <c r="D22" s="41"/>
      <c r="E22" s="41"/>
      <c r="F22" s="8"/>
      <c r="G22" s="35"/>
      <c r="H22" s="8"/>
      <c r="I22" s="16"/>
      <c r="J22" s="35">
        <f>F22*G22+H22*I22</f>
        <v>0</v>
      </c>
      <c r="K22" s="16" t="e">
        <f>E22/(J22)</f>
        <v>#DIV/0!</v>
      </c>
      <c r="L22" s="3"/>
      <c r="M22" s="26">
        <f>E22+'6-6-22'!M22</f>
        <v>125400</v>
      </c>
      <c r="N22" s="27">
        <f>M22/C22</f>
        <v>1</v>
      </c>
      <c r="O22" s="35">
        <f>J22+'6-6-22'!O22</f>
        <v>679.75</v>
      </c>
      <c r="P22" s="26">
        <f>M22/O22</f>
        <v>184.47958808385437</v>
      </c>
    </row>
    <row r="23" spans="1:16" ht="15.6" x14ac:dyDescent="0.3">
      <c r="A23" s="3"/>
      <c r="B23" s="3"/>
      <c r="C23" s="3"/>
      <c r="D23" s="3"/>
      <c r="E23" s="3"/>
      <c r="F23" s="3"/>
      <c r="G23" s="40"/>
      <c r="H23" s="3"/>
      <c r="I23" s="28"/>
      <c r="J23" s="40"/>
      <c r="K23" s="28"/>
      <c r="L23" s="3"/>
      <c r="M23" s="29"/>
      <c r="N23" s="3"/>
      <c r="O23" s="36"/>
      <c r="P23" s="29"/>
    </row>
    <row r="24" spans="1:16" ht="15.6" x14ac:dyDescent="0.3">
      <c r="A24" s="3"/>
      <c r="B24" s="8" t="s">
        <v>54</v>
      </c>
      <c r="C24" s="8">
        <v>125400</v>
      </c>
      <c r="D24" s="8"/>
      <c r="E24" s="8"/>
      <c r="F24" s="8"/>
      <c r="G24" s="35"/>
      <c r="H24" s="8"/>
      <c r="I24" s="16"/>
      <c r="J24" s="35">
        <f>F24*G24+H24*I24</f>
        <v>0</v>
      </c>
      <c r="K24" s="16" t="e">
        <f>E24/(J24)</f>
        <v>#DIV/0!</v>
      </c>
      <c r="L24" s="3"/>
      <c r="M24" s="26">
        <f>E24+'6-6-22'!M24</f>
        <v>125400</v>
      </c>
      <c r="N24" s="27">
        <f>M24/C24</f>
        <v>1</v>
      </c>
      <c r="O24" s="35">
        <f>J24+'6-6-22'!O24</f>
        <v>449.75</v>
      </c>
      <c r="P24" s="26">
        <f>M24/O24</f>
        <v>278.82156753752082</v>
      </c>
    </row>
    <row r="25" spans="1:16" ht="15.6" x14ac:dyDescent="0.3">
      <c r="A25" s="3"/>
      <c r="B25" s="3"/>
      <c r="C25" s="3"/>
      <c r="D25" s="3"/>
      <c r="E25" s="3"/>
      <c r="F25" s="3"/>
      <c r="G25" s="36"/>
      <c r="H25" s="3"/>
      <c r="I25" s="4"/>
      <c r="J25" s="36"/>
      <c r="K25" s="4"/>
      <c r="L25" s="3"/>
      <c r="M25" s="29"/>
      <c r="N25" s="3"/>
      <c r="O25" s="3"/>
      <c r="P25" s="3"/>
    </row>
    <row r="26" spans="1:16" ht="15.6" x14ac:dyDescent="0.3">
      <c r="A26" s="3"/>
      <c r="B26" s="8" t="s">
        <v>44</v>
      </c>
      <c r="C26" s="8">
        <v>3040</v>
      </c>
      <c r="D26" s="8"/>
      <c r="E26" s="8">
        <v>463</v>
      </c>
      <c r="F26" s="8">
        <v>5</v>
      </c>
      <c r="G26" s="35">
        <v>4</v>
      </c>
      <c r="H26" s="8"/>
      <c r="I26" s="16"/>
      <c r="J26" s="35">
        <f>F26*G26+H26*I26</f>
        <v>20</v>
      </c>
      <c r="K26" s="16">
        <f>E26/(J26)</f>
        <v>23.15</v>
      </c>
      <c r="L26" s="3"/>
      <c r="M26" s="26">
        <f>E26+'6-6-22'!M26</f>
        <v>463</v>
      </c>
      <c r="N26" s="27">
        <f>M26/C26</f>
        <v>0.15230263157894736</v>
      </c>
      <c r="O26" s="35">
        <f>J26+'6-6-22'!O26</f>
        <v>47</v>
      </c>
      <c r="P26" s="26">
        <f>M26/O26</f>
        <v>9.8510638297872344</v>
      </c>
    </row>
    <row r="27" spans="1:16" ht="15.6" x14ac:dyDescent="0.3">
      <c r="A27" s="3"/>
      <c r="B27" s="3"/>
      <c r="C27" s="3"/>
      <c r="D27" s="3"/>
      <c r="E27" s="3"/>
      <c r="F27" s="3"/>
      <c r="G27" s="36"/>
      <c r="H27" s="3"/>
      <c r="I27" s="4"/>
      <c r="J27" s="36"/>
      <c r="K27" s="4"/>
      <c r="L27" s="3"/>
      <c r="M27" s="29"/>
      <c r="N27" s="3"/>
      <c r="O27" s="3"/>
      <c r="P27" s="3"/>
    </row>
    <row r="28" spans="1:16" ht="15.6" x14ac:dyDescent="0.3">
      <c r="A28" s="3"/>
      <c r="B28" s="8" t="s">
        <v>45</v>
      </c>
      <c r="C28" s="8">
        <v>3040</v>
      </c>
      <c r="D28" s="8"/>
      <c r="E28" s="8">
        <v>463</v>
      </c>
      <c r="F28" s="8">
        <v>4</v>
      </c>
      <c r="G28" s="35">
        <v>4</v>
      </c>
      <c r="H28" s="8"/>
      <c r="I28" s="16"/>
      <c r="J28" s="35">
        <f>F28*G28+H28*I28</f>
        <v>16</v>
      </c>
      <c r="K28" s="16">
        <f>E28/(J28)</f>
        <v>28.9375</v>
      </c>
      <c r="L28" s="3"/>
      <c r="M28" s="26">
        <f>E28+'6-6-22'!M28</f>
        <v>463</v>
      </c>
      <c r="N28" s="27">
        <f>M28/C28</f>
        <v>0.15230263157894736</v>
      </c>
      <c r="O28" s="35">
        <f>J28+'6-6-22'!O28</f>
        <v>16</v>
      </c>
      <c r="P28" s="26">
        <f>M28/O28</f>
        <v>28.9375</v>
      </c>
    </row>
    <row r="29" spans="1:16" ht="15.6" x14ac:dyDescent="0.3">
      <c r="A29" s="3"/>
      <c r="B29" s="3"/>
      <c r="C29" s="3"/>
      <c r="D29" s="3"/>
      <c r="E29" s="3"/>
      <c r="F29" s="3"/>
      <c r="G29" s="36"/>
      <c r="H29" s="3"/>
      <c r="I29" s="4"/>
      <c r="J29" s="36"/>
      <c r="K29" s="4"/>
      <c r="L29" s="3"/>
      <c r="M29" s="29"/>
      <c r="N29" s="3"/>
      <c r="O29" s="3"/>
      <c r="P29" s="3"/>
    </row>
    <row r="30" spans="1:16" ht="15.6" x14ac:dyDescent="0.3">
      <c r="A30" s="3"/>
      <c r="B30" s="8" t="s">
        <v>47</v>
      </c>
      <c r="C30" s="8">
        <v>125400</v>
      </c>
      <c r="D30" s="8"/>
      <c r="E30" s="8"/>
      <c r="F30" s="8">
        <v>9</v>
      </c>
      <c r="G30" s="35">
        <v>5</v>
      </c>
      <c r="H30" s="8"/>
      <c r="I30" s="35"/>
      <c r="J30" s="35">
        <f>F30*G30+H30*I30</f>
        <v>45</v>
      </c>
      <c r="K30" s="16">
        <f>E30/(J30)</f>
        <v>0</v>
      </c>
      <c r="L30" s="3"/>
      <c r="M30" s="26">
        <f>E30+'6-6-22'!M30</f>
        <v>0</v>
      </c>
      <c r="N30" s="27">
        <f>M30/C30</f>
        <v>0</v>
      </c>
      <c r="O30" s="35">
        <f>J30+'6-6-22'!O30</f>
        <v>182.25</v>
      </c>
      <c r="P30" s="26">
        <f>M30/O30</f>
        <v>0</v>
      </c>
    </row>
    <row r="31" spans="1:16" ht="15.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7"/>
      <c r="O31" s="3"/>
      <c r="P31" s="3"/>
    </row>
    <row r="32" spans="1:16" ht="15.6" x14ac:dyDescent="0.3">
      <c r="A32" s="3"/>
      <c r="B32" s="8" t="s">
        <v>46</v>
      </c>
      <c r="C32" s="8">
        <v>324</v>
      </c>
      <c r="D32" s="8"/>
      <c r="E32" s="8"/>
      <c r="F32" s="8"/>
      <c r="G32" s="35"/>
      <c r="H32" s="8"/>
      <c r="I32" s="16"/>
      <c r="J32" s="35">
        <f>F32*G32+H32*I32</f>
        <v>0</v>
      </c>
      <c r="K32" s="16" t="e">
        <f>E32/(J32)</f>
        <v>#DIV/0!</v>
      </c>
      <c r="L32" s="3"/>
      <c r="M32" s="26">
        <f>E32+'6-6-22'!M32</f>
        <v>0</v>
      </c>
      <c r="N32" s="27">
        <f>M32/C32</f>
        <v>0</v>
      </c>
      <c r="O32" s="35">
        <f>J32+'6-6-22'!O32</f>
        <v>0</v>
      </c>
      <c r="P32" s="26" t="e">
        <f>M32/O32</f>
        <v>#DIV/0!</v>
      </c>
    </row>
    <row r="33" spans="1:16" ht="15.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7"/>
      <c r="O33" s="3"/>
      <c r="P33" s="3"/>
    </row>
    <row r="34" spans="1:16" ht="15.6" x14ac:dyDescent="0.3">
      <c r="A34" s="3"/>
      <c r="B34" s="8" t="s">
        <v>48</v>
      </c>
      <c r="C34" s="8">
        <v>115000</v>
      </c>
      <c r="D34" s="8"/>
      <c r="E34" s="8"/>
      <c r="F34" s="8"/>
      <c r="G34" s="35"/>
      <c r="H34" s="8"/>
      <c r="I34" s="16"/>
      <c r="J34" s="35">
        <f>F34*G34+H34*I34</f>
        <v>0</v>
      </c>
      <c r="K34" s="16" t="e">
        <f>E34/(J34)</f>
        <v>#DIV/0!</v>
      </c>
      <c r="L34" s="3"/>
      <c r="M34" s="26">
        <f>E34+'6-6-22'!M34</f>
        <v>0</v>
      </c>
      <c r="N34" s="27">
        <f>M34/C34</f>
        <v>0</v>
      </c>
      <c r="O34" s="35">
        <f>J34+'6-6-22'!O34</f>
        <v>0</v>
      </c>
      <c r="P34" s="26" t="e">
        <f>M34/O34</f>
        <v>#DIV/0!</v>
      </c>
    </row>
    <row r="35" spans="1:16" ht="15.6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27"/>
      <c r="O35" s="3"/>
      <c r="P35" s="3"/>
    </row>
    <row r="36" spans="1:16" ht="15.6" x14ac:dyDescent="0.3">
      <c r="A36" s="3"/>
      <c r="B36" s="8" t="s">
        <v>49</v>
      </c>
      <c r="C36" s="8">
        <v>8</v>
      </c>
      <c r="D36" s="8"/>
      <c r="E36" s="8"/>
      <c r="F36" s="8"/>
      <c r="G36" s="35"/>
      <c r="H36" s="8"/>
      <c r="I36" s="16"/>
      <c r="J36" s="35">
        <f>F36*G36+H36*I36</f>
        <v>0</v>
      </c>
      <c r="K36" s="16" t="e">
        <f>E36/(J36)</f>
        <v>#DIV/0!</v>
      </c>
      <c r="L36" s="3"/>
      <c r="M36" s="26">
        <f>E36+'6-6-22'!M36</f>
        <v>0</v>
      </c>
      <c r="N36" s="27">
        <f>M36/C36</f>
        <v>0</v>
      </c>
      <c r="O36" s="35">
        <f>J36+'6-6-22'!O36</f>
        <v>24</v>
      </c>
      <c r="P36" s="26">
        <f>M36/O36</f>
        <v>0</v>
      </c>
    </row>
    <row r="37" spans="1:16" ht="15.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27"/>
      <c r="O37" s="3"/>
      <c r="P37" s="3"/>
    </row>
    <row r="38" spans="1:16" ht="15.6" x14ac:dyDescent="0.3">
      <c r="A38" s="3"/>
      <c r="B38" s="8" t="s">
        <v>50</v>
      </c>
      <c r="C38" s="8">
        <f>2760+480</f>
        <v>3240</v>
      </c>
      <c r="D38" s="8"/>
      <c r="E38" s="8"/>
      <c r="F38" s="8"/>
      <c r="G38" s="35"/>
      <c r="H38" s="8"/>
      <c r="I38" s="16"/>
      <c r="J38" s="35">
        <f>F38*G38+H38*I38</f>
        <v>0</v>
      </c>
      <c r="K38" s="16" t="e">
        <f>E38/(J38)</f>
        <v>#DIV/0!</v>
      </c>
      <c r="L38" s="3"/>
      <c r="M38" s="26">
        <f>E38+'6-6-22'!M38</f>
        <v>555</v>
      </c>
      <c r="N38" s="27">
        <f>M38/C38</f>
        <v>0.17129629629629631</v>
      </c>
      <c r="O38" s="35">
        <f>J38+'6-6-22'!O38</f>
        <v>25.5</v>
      </c>
      <c r="P38" s="26">
        <f>M38/O38</f>
        <v>21.764705882352942</v>
      </c>
    </row>
    <row r="39" spans="1:16" ht="15.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7"/>
      <c r="O39" s="3"/>
      <c r="P39" s="3"/>
    </row>
    <row r="40" spans="1:16" ht="15.6" x14ac:dyDescent="0.3">
      <c r="A40" s="3"/>
      <c r="B40" s="8" t="s">
        <v>115</v>
      </c>
      <c r="C40" s="8">
        <v>25</v>
      </c>
      <c r="D40" s="8"/>
      <c r="E40" s="8"/>
      <c r="F40" s="8"/>
      <c r="G40" s="35"/>
      <c r="H40" s="8"/>
      <c r="I40" s="16"/>
      <c r="J40" s="35">
        <f>F40*G40+H40*I40</f>
        <v>0</v>
      </c>
      <c r="K40" s="16" t="e">
        <f>E40/(J40)</f>
        <v>#DIV/0!</v>
      </c>
      <c r="L40" s="3"/>
      <c r="M40" s="26">
        <f>E40+'6-6-22'!M40</f>
        <v>0</v>
      </c>
      <c r="N40" s="27">
        <f>M40/C40</f>
        <v>0</v>
      </c>
      <c r="O40" s="35">
        <f>J40+'6-6-22'!O40</f>
        <v>0</v>
      </c>
      <c r="P40" s="26" t="e">
        <f>M40/O40</f>
        <v>#DIV/0!</v>
      </c>
    </row>
    <row r="41" spans="1:16" ht="15.6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27"/>
      <c r="O41" s="3"/>
      <c r="P41" s="3"/>
    </row>
    <row r="42" spans="1:16" ht="15.6" x14ac:dyDescent="0.3">
      <c r="A42" s="3"/>
      <c r="B42" s="8" t="s">
        <v>113</v>
      </c>
      <c r="C42" s="8" t="s">
        <v>52</v>
      </c>
      <c r="D42" s="8"/>
      <c r="E42" s="8"/>
      <c r="F42" s="8"/>
      <c r="G42" s="35"/>
      <c r="H42" s="8"/>
      <c r="I42" s="16"/>
      <c r="J42" s="35">
        <f>F42*G42+H42*I42</f>
        <v>0</v>
      </c>
      <c r="K42" s="16" t="e">
        <f>E42/(J42)</f>
        <v>#DIV/0!</v>
      </c>
      <c r="L42" s="3"/>
      <c r="M42" s="26">
        <f>E42+'6-6-22'!M42</f>
        <v>0</v>
      </c>
      <c r="N42" s="53" t="e">
        <f>M42/C42</f>
        <v>#VALUE!</v>
      </c>
      <c r="O42" s="35">
        <f>J42+'6-6-22'!O42</f>
        <v>0</v>
      </c>
      <c r="P42" s="26" t="e">
        <f>M42/O42</f>
        <v>#DIV/0!</v>
      </c>
    </row>
    <row r="43" spans="1:16" ht="15.6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27"/>
      <c r="O43" s="3"/>
      <c r="P43" s="3"/>
    </row>
    <row r="44" spans="1:16" ht="15.6" x14ac:dyDescent="0.3">
      <c r="A44" s="3"/>
      <c r="B44" s="8" t="s">
        <v>114</v>
      </c>
      <c r="C44" s="8" t="s">
        <v>52</v>
      </c>
      <c r="D44" s="8"/>
      <c r="E44" s="8"/>
      <c r="F44" s="8"/>
      <c r="G44" s="35"/>
      <c r="H44" s="8"/>
      <c r="I44" s="16"/>
      <c r="J44" s="35">
        <f>F44*G44+H44*I44</f>
        <v>0</v>
      </c>
      <c r="K44" s="16" t="e">
        <f>E44/(J44)</f>
        <v>#DIV/0!</v>
      </c>
      <c r="L44" s="3"/>
      <c r="M44" s="26">
        <f>E44+'6-6-22'!M44</f>
        <v>0</v>
      </c>
      <c r="N44" s="53" t="e">
        <f>M44/C44</f>
        <v>#VALUE!</v>
      </c>
      <c r="O44" s="35">
        <f>J44+'6-6-22'!O44</f>
        <v>0</v>
      </c>
      <c r="P44" s="26" t="e">
        <f>M44/O44</f>
        <v>#DIV/0!</v>
      </c>
    </row>
    <row r="45" spans="1:16" ht="15.6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27"/>
      <c r="O45" s="3"/>
      <c r="P45" s="3"/>
    </row>
    <row r="46" spans="1:16" ht="15.6" x14ac:dyDescent="0.3">
      <c r="A46" s="3"/>
      <c r="B46" s="8" t="s">
        <v>75</v>
      </c>
      <c r="C46" s="8"/>
      <c r="D46" s="8"/>
      <c r="E46" s="8"/>
      <c r="F46" s="8"/>
      <c r="G46" s="35"/>
      <c r="H46" s="8"/>
      <c r="I46" s="16"/>
      <c r="J46" s="35">
        <f>F46*G46+H46*I46</f>
        <v>0</v>
      </c>
      <c r="K46" s="16" t="e">
        <f>E46/(J46)</f>
        <v>#DIV/0!</v>
      </c>
      <c r="L46" s="3"/>
      <c r="M46" s="26">
        <f>E46+'6-6-22'!M46</f>
        <v>0</v>
      </c>
      <c r="N46" s="53" t="e">
        <f>M46/C46</f>
        <v>#DIV/0!</v>
      </c>
      <c r="O46" s="35">
        <f>J46+'6-6-22'!O46</f>
        <v>207.75</v>
      </c>
      <c r="P46" s="26">
        <f>M46/O46</f>
        <v>0</v>
      </c>
    </row>
    <row r="47" spans="1:16" ht="15.6" x14ac:dyDescent="0.3">
      <c r="A47" s="3"/>
      <c r="B47" s="3" t="s">
        <v>27</v>
      </c>
      <c r="C47" s="3"/>
      <c r="D47" s="3"/>
      <c r="E47" s="3"/>
      <c r="F47" s="3"/>
      <c r="G47" s="3"/>
      <c r="H47" s="30"/>
      <c r="I47" s="4"/>
      <c r="J47" s="3">
        <f>J20+J22+J24+J26+J28+J30+J32+J34+J36+J38+J40+J42+J44+J46</f>
        <v>81</v>
      </c>
      <c r="K47" s="3"/>
      <c r="L47" s="3"/>
      <c r="M47" s="3"/>
      <c r="N47" s="3"/>
      <c r="O47" s="3">
        <f>O20+O22+O24+O26+O28+O30+O32+O34+O36+O38+O40+O42+O44+O46</f>
        <v>1740</v>
      </c>
      <c r="P47" s="3"/>
    </row>
    <row r="48" spans="1:16" ht="15.6" x14ac:dyDescent="0.3">
      <c r="A48" s="3"/>
      <c r="B48" s="3"/>
      <c r="C48" s="3"/>
      <c r="D48" s="3"/>
      <c r="E48" s="3"/>
      <c r="F48" s="3"/>
      <c r="G48" s="3"/>
      <c r="H48" s="3"/>
      <c r="I48" s="4"/>
      <c r="J48" s="3"/>
      <c r="K48" s="3"/>
      <c r="L48" s="3"/>
      <c r="M48" s="3"/>
      <c r="N48" s="3"/>
      <c r="O48" s="3"/>
      <c r="P48" s="3"/>
    </row>
    <row r="49" spans="1:16" ht="15.6" x14ac:dyDescent="0.3">
      <c r="A49" s="3"/>
      <c r="B49" s="3" t="s">
        <v>28</v>
      </c>
      <c r="C49" s="3" t="s">
        <v>135</v>
      </c>
      <c r="D49" s="3"/>
      <c r="E49" s="3"/>
      <c r="F49" s="3"/>
      <c r="G49" s="3"/>
      <c r="H49" s="3"/>
      <c r="I49" s="4"/>
      <c r="J49" s="3"/>
      <c r="K49" s="3"/>
      <c r="L49" s="3"/>
      <c r="M49" s="3"/>
      <c r="N49" s="3"/>
      <c r="O49" s="3"/>
      <c r="P49" s="3"/>
    </row>
    <row r="50" spans="1:16" ht="15.6" x14ac:dyDescent="0.3">
      <c r="C50" s="33"/>
    </row>
    <row r="51" spans="1:16" ht="15.6" x14ac:dyDescent="0.3">
      <c r="B51" s="3" t="s">
        <v>32</v>
      </c>
      <c r="C51" s="33" t="s">
        <v>136</v>
      </c>
    </row>
    <row r="52" spans="1:16" ht="15.6" x14ac:dyDescent="0.3">
      <c r="C52" s="33"/>
    </row>
    <row r="53" spans="1:16" ht="15.6" x14ac:dyDescent="0.3">
      <c r="B53" s="3" t="s">
        <v>33</v>
      </c>
      <c r="C53" s="3" t="s">
        <v>137</v>
      </c>
    </row>
    <row r="54" spans="1:16" ht="15.6" x14ac:dyDescent="0.3">
      <c r="C54" s="33" t="s">
        <v>138</v>
      </c>
    </row>
    <row r="55" spans="1:16" ht="15.6" x14ac:dyDescent="0.3">
      <c r="C55" s="33" t="s">
        <v>52</v>
      </c>
    </row>
    <row r="57" spans="1:16" x14ac:dyDescent="0.3">
      <c r="C57" t="s">
        <v>52</v>
      </c>
      <c r="D57" t="s">
        <v>52</v>
      </c>
    </row>
    <row r="58" spans="1:16" x14ac:dyDescent="0.3">
      <c r="C58" t="s">
        <v>52</v>
      </c>
      <c r="D58" t="s">
        <v>52</v>
      </c>
    </row>
  </sheetData>
  <mergeCells count="2">
    <mergeCell ref="A1:G1"/>
    <mergeCell ref="H7:I7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F167B-EA27-4A0D-9EEA-958E658BAC77}">
  <dimension ref="A1:P58"/>
  <sheetViews>
    <sheetView topLeftCell="A19" zoomScale="85" zoomScaleNormal="85" workbookViewId="0">
      <selection activeCell="M38" sqref="M38"/>
    </sheetView>
  </sheetViews>
  <sheetFormatPr defaultRowHeight="14.4" x14ac:dyDescent="0.3"/>
  <cols>
    <col min="1" max="1" width="11.33203125" customWidth="1"/>
    <col min="2" max="2" width="29.33203125" customWidth="1"/>
    <col min="3" max="3" width="22.109375" customWidth="1"/>
    <col min="4" max="4" width="14.88671875" customWidth="1"/>
    <col min="5" max="5" width="16.6640625" customWidth="1"/>
    <col min="6" max="6" width="17.44140625" customWidth="1"/>
    <col min="8" max="8" width="20.44140625" customWidth="1"/>
    <col min="13" max="13" width="10.6640625" customWidth="1"/>
    <col min="14" max="14" width="10" bestFit="1" customWidth="1"/>
    <col min="15" max="15" width="10.6640625" customWidth="1"/>
  </cols>
  <sheetData>
    <row r="1" spans="1:16" ht="18" x14ac:dyDescent="0.35">
      <c r="A1" s="66" t="s">
        <v>0</v>
      </c>
      <c r="B1" s="66"/>
      <c r="C1" s="66"/>
      <c r="D1" s="66"/>
      <c r="E1" s="66"/>
      <c r="F1" s="66"/>
      <c r="G1" s="66"/>
      <c r="H1" s="1"/>
      <c r="I1" s="2"/>
      <c r="J1" s="1"/>
      <c r="K1" s="1"/>
      <c r="L1" s="1"/>
      <c r="M1" s="1"/>
      <c r="N1" s="1"/>
      <c r="O1" s="1"/>
      <c r="P1" s="1"/>
    </row>
    <row r="2" spans="1:16" ht="15.6" x14ac:dyDescent="0.3">
      <c r="A2" s="3"/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</row>
    <row r="3" spans="1:16" ht="15.6" x14ac:dyDescent="0.3">
      <c r="A3" s="3"/>
      <c r="B3" s="5" t="s">
        <v>1</v>
      </c>
      <c r="C3" s="6" t="s">
        <v>43</v>
      </c>
      <c r="D3" s="7"/>
      <c r="E3" s="3"/>
      <c r="F3" s="5" t="s">
        <v>2</v>
      </c>
      <c r="G3" s="8">
        <v>4355</v>
      </c>
      <c r="H3" s="5" t="s">
        <v>41</v>
      </c>
      <c r="I3" s="36">
        <v>49</v>
      </c>
      <c r="J3" s="3"/>
      <c r="K3" s="3"/>
      <c r="L3" s="3"/>
      <c r="M3" s="3"/>
      <c r="N3" s="3"/>
      <c r="O3" s="3"/>
      <c r="P3" s="3"/>
    </row>
    <row r="4" spans="1:16" ht="15.6" x14ac:dyDescent="0.3">
      <c r="A4" s="3"/>
      <c r="B4" s="5" t="s">
        <v>3</v>
      </c>
      <c r="C4" s="37">
        <v>300155</v>
      </c>
      <c r="D4" s="7"/>
      <c r="E4" s="3"/>
      <c r="F4" s="5" t="s">
        <v>4</v>
      </c>
      <c r="G4" s="8">
        <f>J16+'6-5-22'!G4</f>
        <v>1659</v>
      </c>
      <c r="H4" s="34" t="s">
        <v>42</v>
      </c>
      <c r="I4" s="4">
        <v>22</v>
      </c>
      <c r="J4" s="3"/>
      <c r="K4" s="3"/>
      <c r="L4" s="3"/>
      <c r="M4" s="3"/>
      <c r="N4" s="3"/>
      <c r="O4" s="3"/>
      <c r="P4" s="3"/>
    </row>
    <row r="5" spans="1:16" ht="15.6" x14ac:dyDescent="0.3">
      <c r="A5" s="3"/>
      <c r="B5" s="5" t="s">
        <v>5</v>
      </c>
      <c r="C5" s="38">
        <v>44718</v>
      </c>
      <c r="D5" s="3"/>
      <c r="E5" s="3"/>
      <c r="F5" s="3"/>
      <c r="G5" s="3"/>
      <c r="H5" s="3"/>
      <c r="I5" s="4"/>
      <c r="J5" s="3"/>
      <c r="K5" s="3"/>
      <c r="L5" s="3"/>
      <c r="M5" s="3"/>
      <c r="N5" s="3"/>
      <c r="O5" s="3"/>
      <c r="P5" s="3"/>
    </row>
    <row r="6" spans="1:16" ht="15.6" x14ac:dyDescent="0.3">
      <c r="A6" s="3"/>
      <c r="B6" s="5"/>
      <c r="C6" s="3"/>
      <c r="D6" s="3"/>
      <c r="E6" s="3"/>
      <c r="F6" s="3"/>
      <c r="G6" s="3"/>
      <c r="H6" s="3"/>
      <c r="I6" s="4"/>
      <c r="J6" s="3"/>
      <c r="K6" s="3"/>
      <c r="L6" s="3"/>
      <c r="M6" s="3"/>
      <c r="N6" s="3"/>
      <c r="O6" s="3"/>
      <c r="P6" s="3"/>
    </row>
    <row r="7" spans="1:16" ht="15.6" x14ac:dyDescent="0.3">
      <c r="A7" s="10" t="s">
        <v>6</v>
      </c>
      <c r="B7" s="11"/>
      <c r="C7" s="12" t="s">
        <v>7</v>
      </c>
      <c r="D7" s="3"/>
      <c r="E7" s="12" t="s">
        <v>8</v>
      </c>
      <c r="F7" s="12" t="s">
        <v>34</v>
      </c>
      <c r="G7" s="3"/>
      <c r="H7" s="67" t="s">
        <v>7</v>
      </c>
      <c r="I7" s="67"/>
      <c r="J7" s="12" t="s">
        <v>8</v>
      </c>
      <c r="K7" s="3"/>
      <c r="L7" s="3"/>
      <c r="M7" s="3"/>
      <c r="N7" s="3"/>
      <c r="O7" s="3"/>
      <c r="P7" s="3"/>
    </row>
    <row r="8" spans="1:16" ht="15.6" x14ac:dyDescent="0.3">
      <c r="A8" s="13">
        <v>1</v>
      </c>
      <c r="B8" s="5" t="s">
        <v>9</v>
      </c>
      <c r="C8" s="14" t="s">
        <v>35</v>
      </c>
      <c r="D8" s="15"/>
      <c r="E8" s="35">
        <v>9.75</v>
      </c>
      <c r="F8" s="16">
        <v>66</v>
      </c>
      <c r="G8" s="11">
        <v>9</v>
      </c>
      <c r="H8" s="14" t="s">
        <v>40</v>
      </c>
      <c r="I8" s="8"/>
      <c r="J8" s="39">
        <v>9.75</v>
      </c>
      <c r="K8" s="3"/>
      <c r="L8" s="3"/>
      <c r="M8" s="3"/>
      <c r="N8" s="3"/>
      <c r="O8" s="3"/>
      <c r="P8" s="3"/>
    </row>
    <row r="9" spans="1:16" ht="15.6" x14ac:dyDescent="0.3">
      <c r="A9" s="13">
        <v>2</v>
      </c>
      <c r="B9" s="5" t="s">
        <v>10</v>
      </c>
      <c r="C9" s="14" t="s">
        <v>37</v>
      </c>
      <c r="D9" s="8"/>
      <c r="E9" s="35">
        <v>9.75</v>
      </c>
      <c r="F9" s="16"/>
      <c r="G9" s="11">
        <v>10</v>
      </c>
      <c r="H9" s="14"/>
      <c r="I9" s="8"/>
      <c r="J9" s="39"/>
      <c r="K9" s="3"/>
      <c r="L9" s="3"/>
      <c r="M9" s="3"/>
      <c r="N9" s="3"/>
      <c r="O9" s="3"/>
      <c r="P9" s="3"/>
    </row>
    <row r="10" spans="1:16" ht="15.6" x14ac:dyDescent="0.3">
      <c r="A10" s="13">
        <v>3</v>
      </c>
      <c r="B10" s="5" t="s">
        <v>11</v>
      </c>
      <c r="C10" s="14" t="s">
        <v>36</v>
      </c>
      <c r="D10" s="8"/>
      <c r="E10" s="35">
        <v>9.75</v>
      </c>
      <c r="F10" s="16">
        <v>78</v>
      </c>
      <c r="G10" s="11">
        <v>11</v>
      </c>
      <c r="H10" s="3"/>
      <c r="I10" s="8"/>
      <c r="J10" s="39"/>
      <c r="K10" s="3"/>
      <c r="L10" s="3"/>
      <c r="M10" s="3"/>
      <c r="N10" s="3"/>
      <c r="O10" s="3"/>
      <c r="P10" s="3"/>
    </row>
    <row r="11" spans="1:16" ht="15.6" x14ac:dyDescent="0.3">
      <c r="A11" s="13">
        <v>4</v>
      </c>
      <c r="B11" s="5" t="s">
        <v>12</v>
      </c>
      <c r="C11" s="14" t="s">
        <v>29</v>
      </c>
      <c r="D11" s="8"/>
      <c r="E11" s="35">
        <v>9.75</v>
      </c>
      <c r="F11" s="16"/>
      <c r="G11" s="11">
        <v>12</v>
      </c>
      <c r="H11" s="3"/>
      <c r="I11" s="8"/>
      <c r="J11" s="39"/>
      <c r="K11" s="3"/>
      <c r="L11" s="3"/>
      <c r="M11" s="3"/>
      <c r="N11" s="3"/>
      <c r="O11" s="3"/>
      <c r="P11" s="3"/>
    </row>
    <row r="12" spans="1:16" ht="15.6" x14ac:dyDescent="0.3">
      <c r="A12" s="13">
        <v>5</v>
      </c>
      <c r="B12" s="3"/>
      <c r="C12" s="31" t="s">
        <v>30</v>
      </c>
      <c r="D12" s="8"/>
      <c r="E12" s="35">
        <v>9.75</v>
      </c>
      <c r="F12" s="16"/>
      <c r="G12" s="11">
        <v>13</v>
      </c>
      <c r="H12" s="3"/>
      <c r="I12" s="8"/>
      <c r="J12" s="39"/>
      <c r="K12" s="3"/>
      <c r="L12" s="3"/>
      <c r="M12" s="3"/>
      <c r="N12" s="3"/>
      <c r="O12" s="3"/>
      <c r="P12" s="3"/>
    </row>
    <row r="13" spans="1:16" ht="15.6" x14ac:dyDescent="0.3">
      <c r="A13" s="13">
        <v>6</v>
      </c>
      <c r="B13" s="3"/>
      <c r="C13" s="14" t="s">
        <v>31</v>
      </c>
      <c r="D13" s="8"/>
      <c r="E13" s="35">
        <v>9.75</v>
      </c>
      <c r="F13" s="16">
        <v>74</v>
      </c>
      <c r="G13" s="11">
        <v>14</v>
      </c>
      <c r="H13" s="18"/>
      <c r="I13" s="8"/>
      <c r="J13" s="39"/>
      <c r="K13" s="3"/>
      <c r="L13" s="3"/>
      <c r="M13" s="3"/>
      <c r="N13" s="3"/>
      <c r="O13" s="3"/>
      <c r="P13" s="3"/>
    </row>
    <row r="14" spans="1:16" ht="15.6" x14ac:dyDescent="0.3">
      <c r="A14" s="13">
        <v>7</v>
      </c>
      <c r="B14" s="5" t="s">
        <v>52</v>
      </c>
      <c r="C14" s="14" t="s">
        <v>39</v>
      </c>
      <c r="D14" s="8"/>
      <c r="E14" s="35">
        <v>9.75</v>
      </c>
      <c r="F14" s="16"/>
      <c r="G14" s="11">
        <v>15</v>
      </c>
      <c r="H14" s="3"/>
      <c r="I14" s="8"/>
      <c r="J14" s="39"/>
      <c r="K14" s="3"/>
      <c r="L14" s="3"/>
      <c r="M14" s="3"/>
      <c r="N14" s="3"/>
      <c r="O14" s="3"/>
      <c r="P14" s="3"/>
    </row>
    <row r="15" spans="1:16" ht="15.6" x14ac:dyDescent="0.3">
      <c r="A15" s="13">
        <v>8</v>
      </c>
      <c r="B15" s="3"/>
      <c r="C15" s="14" t="s">
        <v>38</v>
      </c>
      <c r="D15" s="8"/>
      <c r="E15" s="35">
        <v>9.75</v>
      </c>
      <c r="F15" s="16"/>
      <c r="G15" s="11">
        <v>16</v>
      </c>
      <c r="H15" s="3"/>
      <c r="I15" s="8"/>
      <c r="J15" s="39"/>
      <c r="K15" s="3"/>
      <c r="L15" s="3"/>
      <c r="M15" s="3"/>
      <c r="N15" s="3"/>
      <c r="O15" s="3"/>
      <c r="P15" s="3"/>
    </row>
    <row r="16" spans="1:16" ht="15.6" x14ac:dyDescent="0.3">
      <c r="A16" s="3"/>
      <c r="B16" s="3"/>
      <c r="C16" s="3"/>
      <c r="D16" s="3"/>
      <c r="E16" s="3"/>
      <c r="F16" s="3"/>
      <c r="G16" s="13"/>
      <c r="H16" s="7" t="s">
        <v>13</v>
      </c>
      <c r="I16" s="3"/>
      <c r="J16" s="8">
        <f>SUM(E8:E15)+SUM(J8:J15)</f>
        <v>87.75</v>
      </c>
      <c r="K16" s="3"/>
      <c r="L16" s="3"/>
      <c r="M16" s="3"/>
      <c r="N16" s="3"/>
      <c r="O16" s="3"/>
      <c r="P16" s="3"/>
    </row>
    <row r="17" spans="1:16" ht="15.6" x14ac:dyDescent="0.3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  <c r="L17" s="3"/>
      <c r="M17" s="3"/>
      <c r="N17" s="3"/>
      <c r="O17" s="3"/>
      <c r="P17" s="3"/>
    </row>
    <row r="18" spans="1:16" ht="93.6" x14ac:dyDescent="0.3">
      <c r="A18" s="19"/>
      <c r="B18" s="20" t="s">
        <v>14</v>
      </c>
      <c r="C18" s="21" t="s">
        <v>15</v>
      </c>
      <c r="D18" s="22" t="s">
        <v>16</v>
      </c>
      <c r="E18" s="22" t="s">
        <v>17</v>
      </c>
      <c r="F18" s="22" t="s">
        <v>18</v>
      </c>
      <c r="G18" s="22" t="s">
        <v>19</v>
      </c>
      <c r="H18" s="22" t="s">
        <v>18</v>
      </c>
      <c r="I18" s="22" t="s">
        <v>19</v>
      </c>
      <c r="J18" s="22" t="s">
        <v>20</v>
      </c>
      <c r="K18" s="23" t="s">
        <v>21</v>
      </c>
      <c r="L18" s="24"/>
      <c r="M18" s="23" t="s">
        <v>22</v>
      </c>
      <c r="N18" s="23" t="s">
        <v>23</v>
      </c>
      <c r="O18" s="23" t="s">
        <v>24</v>
      </c>
      <c r="P18" s="23" t="s">
        <v>25</v>
      </c>
    </row>
    <row r="19" spans="1:16" ht="15.6" x14ac:dyDescent="0.3">
      <c r="A19" s="19"/>
      <c r="B19" s="19"/>
      <c r="C19" s="24"/>
      <c r="D19" s="24"/>
      <c r="E19" s="24"/>
      <c r="F19" s="24"/>
      <c r="G19" s="24"/>
      <c r="H19" s="24"/>
      <c r="I19" s="24"/>
      <c r="J19" s="24"/>
      <c r="K19" s="25"/>
      <c r="L19" s="24"/>
      <c r="M19" s="3"/>
      <c r="N19" s="3"/>
      <c r="O19" s="3"/>
      <c r="P19" s="3"/>
    </row>
    <row r="20" spans="1:16" ht="15.6" x14ac:dyDescent="0.3">
      <c r="A20" s="3"/>
      <c r="B20" s="8" t="s">
        <v>26</v>
      </c>
      <c r="C20" s="8">
        <v>1</v>
      </c>
      <c r="D20" s="8">
        <v>1</v>
      </c>
      <c r="E20" s="8"/>
      <c r="F20" s="8"/>
      <c r="G20" s="35">
        <v>0</v>
      </c>
      <c r="H20" s="8"/>
      <c r="I20" s="16"/>
      <c r="J20" s="35">
        <f>F20*G20+H20*I20</f>
        <v>0</v>
      </c>
      <c r="K20" s="16" t="e">
        <f>E20/(J20)</f>
        <v>#DIV/0!</v>
      </c>
      <c r="L20" s="3"/>
      <c r="M20" s="26">
        <v>0</v>
      </c>
      <c r="N20" s="27">
        <f>M20/C20</f>
        <v>0</v>
      </c>
      <c r="O20" s="35">
        <f>J20+'6-5-22'!O20</f>
        <v>108</v>
      </c>
      <c r="P20" s="26">
        <f>M20/O20</f>
        <v>0</v>
      </c>
    </row>
    <row r="21" spans="1:16" ht="15.6" x14ac:dyDescent="0.3">
      <c r="A21" s="3"/>
      <c r="B21" s="3"/>
      <c r="C21" s="3"/>
      <c r="D21" s="3"/>
      <c r="E21" s="3"/>
      <c r="F21" s="3"/>
      <c r="G21" s="40"/>
      <c r="H21" s="3"/>
      <c r="I21" s="28"/>
      <c r="J21" s="40"/>
      <c r="K21" s="28"/>
      <c r="L21" s="3"/>
      <c r="M21" s="29"/>
      <c r="N21" s="3"/>
      <c r="O21" s="3"/>
      <c r="P21" s="3"/>
    </row>
    <row r="22" spans="1:16" ht="15.6" x14ac:dyDescent="0.3">
      <c r="A22" s="3"/>
      <c r="B22" s="8" t="s">
        <v>53</v>
      </c>
      <c r="C22" s="8">
        <v>125400</v>
      </c>
      <c r="D22" s="41"/>
      <c r="E22" s="41"/>
      <c r="F22" s="8"/>
      <c r="G22" s="35"/>
      <c r="H22" s="8"/>
      <c r="I22" s="16"/>
      <c r="J22" s="35">
        <f>F22*G22+H22*I22</f>
        <v>0</v>
      </c>
      <c r="K22" s="16" t="e">
        <f>E22/(J22)</f>
        <v>#DIV/0!</v>
      </c>
      <c r="L22" s="3"/>
      <c r="M22" s="26">
        <f>E22+'6-5-22'!M22</f>
        <v>125400</v>
      </c>
      <c r="N22" s="27">
        <f>M22/C22</f>
        <v>1</v>
      </c>
      <c r="O22" s="35">
        <f>J22+'6-5-22'!O22</f>
        <v>679.75</v>
      </c>
      <c r="P22" s="26">
        <f>M22/O22</f>
        <v>184.47958808385437</v>
      </c>
    </row>
    <row r="23" spans="1:16" ht="15.6" x14ac:dyDescent="0.3">
      <c r="A23" s="3"/>
      <c r="B23" s="3"/>
      <c r="C23" s="3"/>
      <c r="D23" s="3"/>
      <c r="E23" s="3"/>
      <c r="F23" s="3"/>
      <c r="G23" s="40"/>
      <c r="H23" s="3"/>
      <c r="I23" s="28"/>
      <c r="J23" s="40"/>
      <c r="K23" s="28"/>
      <c r="L23" s="3"/>
      <c r="M23" s="29"/>
      <c r="N23" s="3"/>
      <c r="O23" s="36"/>
      <c r="P23" s="29"/>
    </row>
    <row r="24" spans="1:16" ht="15.6" x14ac:dyDescent="0.3">
      <c r="A24" s="3"/>
      <c r="B24" s="8" t="s">
        <v>54</v>
      </c>
      <c r="C24" s="8">
        <v>125400</v>
      </c>
      <c r="D24" s="8"/>
      <c r="E24" s="8"/>
      <c r="F24" s="8"/>
      <c r="G24" s="35"/>
      <c r="H24" s="8"/>
      <c r="I24" s="16"/>
      <c r="J24" s="35">
        <f>F24*G24+H24*I24</f>
        <v>0</v>
      </c>
      <c r="K24" s="16" t="e">
        <f>E24/(J24)</f>
        <v>#DIV/0!</v>
      </c>
      <c r="L24" s="3"/>
      <c r="M24" s="26">
        <f>E24+'6-5-22'!M24</f>
        <v>125400</v>
      </c>
      <c r="N24" s="27">
        <f>M24/C24</f>
        <v>1</v>
      </c>
      <c r="O24" s="35">
        <f>J24+'6-5-22'!O24</f>
        <v>449.75</v>
      </c>
      <c r="P24" s="26">
        <f>M24/O24</f>
        <v>278.82156753752082</v>
      </c>
    </row>
    <row r="25" spans="1:16" ht="15.6" x14ac:dyDescent="0.3">
      <c r="A25" s="3"/>
      <c r="B25" s="3"/>
      <c r="C25" s="3"/>
      <c r="D25" s="3"/>
      <c r="E25" s="3"/>
      <c r="F25" s="3"/>
      <c r="G25" s="36"/>
      <c r="H25" s="3"/>
      <c r="I25" s="4"/>
      <c r="J25" s="36"/>
      <c r="K25" s="4"/>
      <c r="L25" s="3"/>
      <c r="M25" s="29"/>
      <c r="N25" s="3"/>
      <c r="O25" s="3"/>
      <c r="P25" s="3"/>
    </row>
    <row r="26" spans="1:16" ht="15.6" x14ac:dyDescent="0.3">
      <c r="A26" s="3"/>
      <c r="B26" s="8" t="s">
        <v>44</v>
      </c>
      <c r="C26" s="8">
        <v>3040</v>
      </c>
      <c r="D26" s="8"/>
      <c r="E26" s="8"/>
      <c r="F26" s="8"/>
      <c r="G26" s="35"/>
      <c r="H26" s="8"/>
      <c r="I26" s="16"/>
      <c r="J26" s="35">
        <f>F26*G26+H26*I26</f>
        <v>0</v>
      </c>
      <c r="K26" s="16" t="e">
        <f>E26/(J26)</f>
        <v>#DIV/0!</v>
      </c>
      <c r="L26" s="3"/>
      <c r="M26" s="26">
        <f>E26+'6-5-22'!M26</f>
        <v>0</v>
      </c>
      <c r="N26" s="27">
        <f>M26/C26</f>
        <v>0</v>
      </c>
      <c r="O26" s="35">
        <f>J26+'6-5-22'!O26</f>
        <v>27</v>
      </c>
      <c r="P26" s="26">
        <f>M26/O26</f>
        <v>0</v>
      </c>
    </row>
    <row r="27" spans="1:16" ht="15.6" x14ac:dyDescent="0.3">
      <c r="A27" s="3"/>
      <c r="B27" s="3"/>
      <c r="C27" s="3"/>
      <c r="D27" s="3"/>
      <c r="E27" s="3"/>
      <c r="F27" s="3"/>
      <c r="G27" s="36"/>
      <c r="H27" s="3"/>
      <c r="I27" s="4"/>
      <c r="J27" s="36"/>
      <c r="K27" s="4"/>
      <c r="L27" s="3"/>
      <c r="M27" s="29"/>
      <c r="N27" s="3"/>
      <c r="O27" s="3"/>
      <c r="P27" s="3"/>
    </row>
    <row r="28" spans="1:16" ht="15.6" x14ac:dyDescent="0.3">
      <c r="A28" s="3"/>
      <c r="B28" s="8" t="s">
        <v>45</v>
      </c>
      <c r="C28" s="8">
        <v>3040</v>
      </c>
      <c r="D28" s="8"/>
      <c r="E28" s="8"/>
      <c r="F28" s="8"/>
      <c r="G28" s="35"/>
      <c r="H28" s="8"/>
      <c r="I28" s="16"/>
      <c r="J28" s="35">
        <f>F28*G28+H28*I28</f>
        <v>0</v>
      </c>
      <c r="K28" s="16" t="e">
        <f>E28/(J28)</f>
        <v>#DIV/0!</v>
      </c>
      <c r="L28" s="3"/>
      <c r="M28" s="26">
        <f>E28+'6-5-22'!M28</f>
        <v>0</v>
      </c>
      <c r="N28" s="27">
        <f>M28/C28</f>
        <v>0</v>
      </c>
      <c r="O28" s="35">
        <f>J28+'6-5-22'!O28</f>
        <v>0</v>
      </c>
      <c r="P28" s="26" t="e">
        <f>M28/O28</f>
        <v>#DIV/0!</v>
      </c>
    </row>
    <row r="29" spans="1:16" ht="15.6" x14ac:dyDescent="0.3">
      <c r="A29" s="3"/>
      <c r="B29" s="3"/>
      <c r="C29" s="3"/>
      <c r="D29" s="3"/>
      <c r="E29" s="3"/>
      <c r="F29" s="3"/>
      <c r="G29" s="36"/>
      <c r="H29" s="3"/>
      <c r="I29" s="4"/>
      <c r="J29" s="36"/>
      <c r="K29" s="4"/>
      <c r="L29" s="3"/>
      <c r="M29" s="29"/>
      <c r="N29" s="3"/>
      <c r="O29" s="3"/>
      <c r="P29" s="3"/>
    </row>
    <row r="30" spans="1:16" ht="15.6" x14ac:dyDescent="0.3">
      <c r="A30" s="3"/>
      <c r="B30" s="8" t="s">
        <v>47</v>
      </c>
      <c r="C30" s="8">
        <v>125400</v>
      </c>
      <c r="D30" s="8"/>
      <c r="E30" s="8"/>
      <c r="F30" s="8"/>
      <c r="G30" s="35"/>
      <c r="H30" s="8">
        <v>9</v>
      </c>
      <c r="I30" s="35">
        <v>9.75</v>
      </c>
      <c r="J30" s="35">
        <f>F30*G30+H30*I30</f>
        <v>87.75</v>
      </c>
      <c r="K30" s="16">
        <f>E30/(J30)</f>
        <v>0</v>
      </c>
      <c r="L30" s="3"/>
      <c r="M30" s="26">
        <f>E30+'6-5-22'!M30</f>
        <v>0</v>
      </c>
      <c r="N30" s="27">
        <f>M30/C30</f>
        <v>0</v>
      </c>
      <c r="O30" s="35">
        <f>J30+'6-5-22'!O30</f>
        <v>137.25</v>
      </c>
      <c r="P30" s="26">
        <f>M30/O30</f>
        <v>0</v>
      </c>
    </row>
    <row r="31" spans="1:16" ht="15.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7"/>
      <c r="O31" s="3"/>
      <c r="P31" s="3"/>
    </row>
    <row r="32" spans="1:16" ht="15.6" x14ac:dyDescent="0.3">
      <c r="A32" s="3"/>
      <c r="B32" s="8" t="s">
        <v>46</v>
      </c>
      <c r="C32" s="8">
        <v>324</v>
      </c>
      <c r="D32" s="8"/>
      <c r="E32" s="8"/>
      <c r="F32" s="8"/>
      <c r="G32" s="35"/>
      <c r="H32" s="8"/>
      <c r="I32" s="16"/>
      <c r="J32" s="35">
        <f>F32*G32+H32*I32</f>
        <v>0</v>
      </c>
      <c r="K32" s="16" t="e">
        <f>E32/(J32)</f>
        <v>#DIV/0!</v>
      </c>
      <c r="L32" s="3"/>
      <c r="M32" s="26">
        <f>E32+'6-5-22'!M32</f>
        <v>0</v>
      </c>
      <c r="N32" s="27">
        <f>M32/C32</f>
        <v>0</v>
      </c>
      <c r="O32" s="35">
        <f>J32+'6-5-22'!O32</f>
        <v>0</v>
      </c>
      <c r="P32" s="26" t="e">
        <f>M32/O32</f>
        <v>#DIV/0!</v>
      </c>
    </row>
    <row r="33" spans="1:16" ht="15.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7"/>
      <c r="O33" s="3"/>
      <c r="P33" s="3"/>
    </row>
    <row r="34" spans="1:16" ht="15.6" x14ac:dyDescent="0.3">
      <c r="A34" s="3"/>
      <c r="B34" s="8" t="s">
        <v>48</v>
      </c>
      <c r="C34" s="8">
        <v>115000</v>
      </c>
      <c r="D34" s="8"/>
      <c r="E34" s="8"/>
      <c r="F34" s="8"/>
      <c r="G34" s="35"/>
      <c r="H34" s="8"/>
      <c r="I34" s="16"/>
      <c r="J34" s="35">
        <f>F34*G34+H34*I34</f>
        <v>0</v>
      </c>
      <c r="K34" s="16" t="e">
        <f>E34/(J34)</f>
        <v>#DIV/0!</v>
      </c>
      <c r="L34" s="3"/>
      <c r="M34" s="26">
        <f>E34+'6-5-22'!M34</f>
        <v>0</v>
      </c>
      <c r="N34" s="27">
        <f>M34/C34</f>
        <v>0</v>
      </c>
      <c r="O34" s="35">
        <f>J34+'6-5-22'!O34</f>
        <v>0</v>
      </c>
      <c r="P34" s="26" t="e">
        <f>M34/O34</f>
        <v>#DIV/0!</v>
      </c>
    </row>
    <row r="35" spans="1:16" ht="15.6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27"/>
      <c r="O35" s="3"/>
      <c r="P35" s="3"/>
    </row>
    <row r="36" spans="1:16" ht="15.6" x14ac:dyDescent="0.3">
      <c r="A36" s="3"/>
      <c r="B36" s="8" t="s">
        <v>49</v>
      </c>
      <c r="C36" s="8">
        <v>8</v>
      </c>
      <c r="D36" s="8"/>
      <c r="E36" s="8"/>
      <c r="F36" s="8"/>
      <c r="G36" s="35"/>
      <c r="H36" s="8"/>
      <c r="I36" s="16"/>
      <c r="J36" s="35">
        <f>F36*G36+H36*I36</f>
        <v>0</v>
      </c>
      <c r="K36" s="16" t="e">
        <f>E36/(J36)</f>
        <v>#DIV/0!</v>
      </c>
      <c r="L36" s="3"/>
      <c r="M36" s="26">
        <f>E36+'6-5-22'!M36</f>
        <v>0</v>
      </c>
      <c r="N36" s="27">
        <f>M36/C36</f>
        <v>0</v>
      </c>
      <c r="O36" s="35">
        <f>J36+'6-5-22'!O36</f>
        <v>24</v>
      </c>
      <c r="P36" s="26">
        <f>M36/O36</f>
        <v>0</v>
      </c>
    </row>
    <row r="37" spans="1:16" ht="15.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27"/>
      <c r="O37" s="3"/>
      <c r="P37" s="3"/>
    </row>
    <row r="38" spans="1:16" ht="15.6" x14ac:dyDescent="0.3">
      <c r="A38" s="3"/>
      <c r="B38" s="8" t="s">
        <v>50</v>
      </c>
      <c r="C38" s="8">
        <f>2760+480</f>
        <v>3240</v>
      </c>
      <c r="D38" s="8"/>
      <c r="E38" s="8"/>
      <c r="F38" s="8"/>
      <c r="G38" s="35"/>
      <c r="H38" s="8"/>
      <c r="I38" s="16"/>
      <c r="J38" s="35">
        <f>F38*G38+H38*I38</f>
        <v>0</v>
      </c>
      <c r="K38" s="16" t="e">
        <f>E38/(J38)</f>
        <v>#DIV/0!</v>
      </c>
      <c r="L38" s="3"/>
      <c r="M38" s="26">
        <f>E38+'6-5-22'!M38</f>
        <v>555</v>
      </c>
      <c r="N38" s="27">
        <f>M38/C38</f>
        <v>0.17129629629629631</v>
      </c>
      <c r="O38" s="35">
        <f>J38+'6-5-22'!O38</f>
        <v>25.5</v>
      </c>
      <c r="P38" s="26">
        <f>M38/O38</f>
        <v>21.764705882352942</v>
      </c>
    </row>
    <row r="39" spans="1:16" ht="15.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7"/>
      <c r="O39" s="3"/>
      <c r="P39" s="3"/>
    </row>
    <row r="40" spans="1:16" ht="15.6" x14ac:dyDescent="0.3">
      <c r="A40" s="3"/>
      <c r="B40" s="8" t="s">
        <v>115</v>
      </c>
      <c r="C40" s="8">
        <v>25</v>
      </c>
      <c r="D40" s="8"/>
      <c r="E40" s="8"/>
      <c r="F40" s="8"/>
      <c r="G40" s="35"/>
      <c r="H40" s="8"/>
      <c r="I40" s="16"/>
      <c r="J40" s="35">
        <f>F40*G40+H40*I40</f>
        <v>0</v>
      </c>
      <c r="K40" s="16" t="e">
        <f>E40/(J40)</f>
        <v>#DIV/0!</v>
      </c>
      <c r="L40" s="3"/>
      <c r="M40" s="26">
        <f>E40+'6-5-22'!M40</f>
        <v>0</v>
      </c>
      <c r="N40" s="27">
        <f>M40/C40</f>
        <v>0</v>
      </c>
      <c r="O40" s="35">
        <f>J40+'6-5-22'!O40</f>
        <v>0</v>
      </c>
      <c r="P40" s="26" t="e">
        <f>M40/O40</f>
        <v>#DIV/0!</v>
      </c>
    </row>
    <row r="41" spans="1:16" ht="15.6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27"/>
      <c r="O41" s="3"/>
      <c r="P41" s="3"/>
    </row>
    <row r="42" spans="1:16" ht="15.6" x14ac:dyDescent="0.3">
      <c r="A42" s="3"/>
      <c r="B42" s="8" t="s">
        <v>113</v>
      </c>
      <c r="C42" s="8" t="s">
        <v>52</v>
      </c>
      <c r="D42" s="8"/>
      <c r="E42" s="8"/>
      <c r="F42" s="8"/>
      <c r="G42" s="35"/>
      <c r="H42" s="8"/>
      <c r="I42" s="16"/>
      <c r="J42" s="35">
        <f>F42*G42+H42*I42</f>
        <v>0</v>
      </c>
      <c r="K42" s="16" t="e">
        <f>E42/(J42)</f>
        <v>#DIV/0!</v>
      </c>
      <c r="L42" s="3"/>
      <c r="M42" s="26">
        <f>E42+'6-5-22'!M42</f>
        <v>0</v>
      </c>
      <c r="N42" s="53" t="e">
        <f>M42/C42</f>
        <v>#VALUE!</v>
      </c>
      <c r="O42" s="35">
        <f>J42+'6-5-22'!O42</f>
        <v>0</v>
      </c>
      <c r="P42" s="26" t="e">
        <f>M42/O42</f>
        <v>#DIV/0!</v>
      </c>
    </row>
    <row r="43" spans="1:16" ht="15.6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27"/>
      <c r="O43" s="3"/>
      <c r="P43" s="3"/>
    </row>
    <row r="44" spans="1:16" ht="15.6" x14ac:dyDescent="0.3">
      <c r="A44" s="3"/>
      <c r="B44" s="8" t="s">
        <v>114</v>
      </c>
      <c r="C44" s="8" t="s">
        <v>52</v>
      </c>
      <c r="D44" s="8"/>
      <c r="E44" s="8"/>
      <c r="F44" s="8"/>
      <c r="G44" s="35"/>
      <c r="H44" s="8"/>
      <c r="I44" s="16"/>
      <c r="J44" s="35">
        <f>F44*G44+H44*I44</f>
        <v>0</v>
      </c>
      <c r="K44" s="16" t="e">
        <f>E44/(J44)</f>
        <v>#DIV/0!</v>
      </c>
      <c r="L44" s="3"/>
      <c r="M44" s="26">
        <f>E44+'6-5-22'!M44</f>
        <v>0</v>
      </c>
      <c r="N44" s="53" t="e">
        <f>M44/C44</f>
        <v>#VALUE!</v>
      </c>
      <c r="O44" s="35">
        <f>J44+'6-5-22'!O44</f>
        <v>0</v>
      </c>
      <c r="P44" s="26" t="e">
        <f>M44/O44</f>
        <v>#DIV/0!</v>
      </c>
    </row>
    <row r="45" spans="1:16" ht="15.6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27"/>
      <c r="O45" s="3"/>
      <c r="P45" s="3"/>
    </row>
    <row r="46" spans="1:16" ht="15.6" x14ac:dyDescent="0.3">
      <c r="A46" s="3"/>
      <c r="B46" s="8" t="s">
        <v>75</v>
      </c>
      <c r="C46" s="8"/>
      <c r="D46" s="8"/>
      <c r="E46" s="8"/>
      <c r="F46" s="8"/>
      <c r="G46" s="35"/>
      <c r="H46" s="8"/>
      <c r="I46" s="16"/>
      <c r="J46" s="35">
        <f>F46*G46+H46*I46</f>
        <v>0</v>
      </c>
      <c r="K46" s="16" t="e">
        <f>E46/(J46)</f>
        <v>#DIV/0!</v>
      </c>
      <c r="L46" s="3"/>
      <c r="M46" s="26">
        <f>E46+'6-5-22'!M46</f>
        <v>0</v>
      </c>
      <c r="N46" s="53" t="e">
        <f>M46/C46</f>
        <v>#DIV/0!</v>
      </c>
      <c r="O46" s="35">
        <f>J46+'6-5-22'!O46</f>
        <v>207.75</v>
      </c>
      <c r="P46" s="26">
        <f>M46/O46</f>
        <v>0</v>
      </c>
    </row>
    <row r="47" spans="1:16" ht="15.6" x14ac:dyDescent="0.3">
      <c r="A47" s="3"/>
      <c r="B47" s="3" t="s">
        <v>27</v>
      </c>
      <c r="C47" s="3"/>
      <c r="D47" s="3"/>
      <c r="E47" s="3"/>
      <c r="F47" s="3"/>
      <c r="G47" s="3"/>
      <c r="H47" s="30"/>
      <c r="I47" s="4"/>
      <c r="J47" s="3">
        <f>J20+J22+J24+J26+J28+J30+J32+J34+J36+J38+J40+J42+J44+J46</f>
        <v>87.75</v>
      </c>
      <c r="K47" s="3"/>
      <c r="L47" s="3"/>
      <c r="M47" s="3"/>
      <c r="N47" s="3"/>
      <c r="O47" s="3">
        <f>O20+O22+O24+O26+O28+O30+O32+O34+O36+O38+O40+O42+O44+O46</f>
        <v>1659</v>
      </c>
      <c r="P47" s="3"/>
    </row>
    <row r="48" spans="1:16" ht="15.6" x14ac:dyDescent="0.3">
      <c r="A48" s="3"/>
      <c r="B48" s="3"/>
      <c r="C48" s="3"/>
      <c r="D48" s="3"/>
      <c r="E48" s="3"/>
      <c r="F48" s="3"/>
      <c r="G48" s="3"/>
      <c r="H48" s="3"/>
      <c r="I48" s="4"/>
      <c r="J48" s="3"/>
      <c r="K48" s="3"/>
      <c r="L48" s="3"/>
      <c r="M48" s="3"/>
      <c r="N48" s="3"/>
      <c r="O48" s="3"/>
      <c r="P48" s="3"/>
    </row>
    <row r="49" spans="1:16" ht="15.6" x14ac:dyDescent="0.3">
      <c r="A49" s="3"/>
      <c r="B49" s="3" t="s">
        <v>28</v>
      </c>
      <c r="C49" s="3" t="s">
        <v>131</v>
      </c>
      <c r="D49" s="3"/>
      <c r="E49" s="3"/>
      <c r="F49" s="3"/>
      <c r="G49" s="3"/>
      <c r="H49" s="3"/>
      <c r="I49" s="4"/>
      <c r="J49" s="3"/>
      <c r="K49" s="3"/>
      <c r="L49" s="3"/>
      <c r="M49" s="3"/>
      <c r="N49" s="3"/>
      <c r="O49" s="3"/>
      <c r="P49" s="3"/>
    </row>
    <row r="50" spans="1:16" ht="15.6" x14ac:dyDescent="0.3">
      <c r="C50" s="33" t="s">
        <v>130</v>
      </c>
    </row>
    <row r="51" spans="1:16" ht="15.6" x14ac:dyDescent="0.3">
      <c r="B51" s="3" t="s">
        <v>32</v>
      </c>
      <c r="C51" s="33" t="s">
        <v>128</v>
      </c>
    </row>
    <row r="52" spans="1:16" ht="15.6" x14ac:dyDescent="0.3">
      <c r="C52" s="33"/>
    </row>
    <row r="53" spans="1:16" ht="15.6" x14ac:dyDescent="0.3">
      <c r="B53" s="3" t="s">
        <v>33</v>
      </c>
      <c r="C53" s="3" t="s">
        <v>129</v>
      </c>
    </row>
    <row r="55" spans="1:16" ht="15.6" x14ac:dyDescent="0.3">
      <c r="C55" s="54" t="s">
        <v>132</v>
      </c>
      <c r="D55" s="55"/>
      <c r="E55" s="55"/>
    </row>
    <row r="57" spans="1:16" x14ac:dyDescent="0.3">
      <c r="C57" s="55" t="s">
        <v>133</v>
      </c>
      <c r="D57" s="55">
        <v>9</v>
      </c>
    </row>
    <row r="58" spans="1:16" x14ac:dyDescent="0.3">
      <c r="C58" s="55" t="s">
        <v>134</v>
      </c>
      <c r="D58" s="55">
        <f>'5-27-22'!J24+'5-28-22'!J24+'5-29-22'!J24</f>
        <v>218.25</v>
      </c>
    </row>
  </sheetData>
  <mergeCells count="2">
    <mergeCell ref="A1:G1"/>
    <mergeCell ref="H7:I7"/>
  </mergeCells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F4461-FB38-4C56-B63C-06E55EA734EA}">
  <dimension ref="A1:P53"/>
  <sheetViews>
    <sheetView topLeftCell="A22" zoomScale="85" zoomScaleNormal="85" workbookViewId="0">
      <selection activeCell="M46" sqref="M46"/>
    </sheetView>
  </sheetViews>
  <sheetFormatPr defaultRowHeight="14.4" x14ac:dyDescent="0.3"/>
  <cols>
    <col min="1" max="1" width="11.33203125" customWidth="1"/>
    <col min="2" max="2" width="29.33203125" customWidth="1"/>
    <col min="3" max="3" width="22.109375" customWidth="1"/>
    <col min="4" max="4" width="14.88671875" customWidth="1"/>
    <col min="5" max="5" width="16.6640625" customWidth="1"/>
    <col min="6" max="6" width="17.44140625" customWidth="1"/>
    <col min="8" max="8" width="20.44140625" customWidth="1"/>
    <col min="11" max="11" width="9.6640625" customWidth="1"/>
    <col min="13" max="13" width="10.6640625" customWidth="1"/>
    <col min="14" max="14" width="10" bestFit="1" customWidth="1"/>
    <col min="15" max="15" width="10.6640625" customWidth="1"/>
  </cols>
  <sheetData>
    <row r="1" spans="1:16" ht="18" x14ac:dyDescent="0.35">
      <c r="A1" s="66" t="s">
        <v>0</v>
      </c>
      <c r="B1" s="66"/>
      <c r="C1" s="66"/>
      <c r="D1" s="66"/>
      <c r="E1" s="66"/>
      <c r="F1" s="66"/>
      <c r="G1" s="66"/>
      <c r="H1" s="1"/>
      <c r="I1" s="2"/>
      <c r="J1" s="1"/>
      <c r="K1" s="1"/>
      <c r="L1" s="1"/>
      <c r="M1" s="1"/>
      <c r="N1" s="1"/>
      <c r="O1" s="1"/>
      <c r="P1" s="1"/>
    </row>
    <row r="2" spans="1:16" ht="15.6" x14ac:dyDescent="0.3">
      <c r="A2" s="3"/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</row>
    <row r="3" spans="1:16" ht="15.6" x14ac:dyDescent="0.3">
      <c r="A3" s="3"/>
      <c r="B3" s="5" t="s">
        <v>1</v>
      </c>
      <c r="C3" s="6" t="s">
        <v>43</v>
      </c>
      <c r="D3" s="7"/>
      <c r="E3" s="3"/>
      <c r="F3" s="5" t="s">
        <v>2</v>
      </c>
      <c r="G3" s="8">
        <v>4355</v>
      </c>
      <c r="H3" s="5" t="s">
        <v>41</v>
      </c>
      <c r="I3" s="36">
        <v>49</v>
      </c>
      <c r="J3" s="3"/>
      <c r="K3" s="3"/>
      <c r="L3" s="3"/>
      <c r="M3" s="3"/>
      <c r="N3" s="3"/>
      <c r="O3" s="3"/>
      <c r="P3" s="3"/>
    </row>
    <row r="4" spans="1:16" ht="15.6" x14ac:dyDescent="0.3">
      <c r="A4" s="3"/>
      <c r="B4" s="5" t="s">
        <v>3</v>
      </c>
      <c r="C4" s="37">
        <v>300155</v>
      </c>
      <c r="D4" s="7"/>
      <c r="E4" s="3"/>
      <c r="F4" s="5" t="s">
        <v>4</v>
      </c>
      <c r="G4" s="8">
        <f>J16+'6-4-22'!G4</f>
        <v>1571.25</v>
      </c>
      <c r="H4" s="34" t="s">
        <v>42</v>
      </c>
      <c r="I4" s="4">
        <v>21</v>
      </c>
      <c r="J4" s="3"/>
      <c r="K4" s="3"/>
      <c r="L4" s="3"/>
      <c r="M4" s="3"/>
      <c r="N4" s="3"/>
      <c r="O4" s="3"/>
      <c r="P4" s="3"/>
    </row>
    <row r="5" spans="1:16" ht="15.6" x14ac:dyDescent="0.3">
      <c r="A5" s="3"/>
      <c r="B5" s="5" t="s">
        <v>5</v>
      </c>
      <c r="C5" s="38">
        <v>44717</v>
      </c>
      <c r="D5" s="3"/>
      <c r="E5" s="3"/>
      <c r="F5" s="3"/>
      <c r="G5" s="3"/>
      <c r="H5" s="3"/>
      <c r="I5" s="4"/>
      <c r="J5" s="3"/>
      <c r="K5" s="3"/>
      <c r="L5" s="3"/>
      <c r="M5" s="3"/>
      <c r="N5" s="3"/>
      <c r="O5" s="3"/>
      <c r="P5" s="3"/>
    </row>
    <row r="6" spans="1:16" ht="15.6" x14ac:dyDescent="0.3">
      <c r="A6" s="3"/>
      <c r="B6" s="5"/>
      <c r="C6" s="3"/>
      <c r="D6" s="3"/>
      <c r="E6" s="3"/>
      <c r="F6" s="3"/>
      <c r="G6" s="3"/>
      <c r="H6" s="3"/>
      <c r="I6" s="4"/>
      <c r="J6" s="3"/>
      <c r="K6" s="3"/>
      <c r="L6" s="3"/>
      <c r="M6" s="3"/>
      <c r="N6" s="3"/>
      <c r="O6" s="3"/>
      <c r="P6" s="3"/>
    </row>
    <row r="7" spans="1:16" ht="15.6" x14ac:dyDescent="0.3">
      <c r="A7" s="10" t="s">
        <v>6</v>
      </c>
      <c r="B7" s="11"/>
      <c r="C7" s="12" t="s">
        <v>7</v>
      </c>
      <c r="D7" s="3"/>
      <c r="E7" s="12" t="s">
        <v>8</v>
      </c>
      <c r="F7" s="12" t="s">
        <v>34</v>
      </c>
      <c r="G7" s="3"/>
      <c r="H7" s="67" t="s">
        <v>7</v>
      </c>
      <c r="I7" s="67"/>
      <c r="J7" s="12" t="s">
        <v>8</v>
      </c>
      <c r="K7" s="3"/>
      <c r="L7" s="3"/>
      <c r="M7" s="3"/>
      <c r="N7" s="3"/>
      <c r="O7" s="3"/>
      <c r="P7" s="3"/>
    </row>
    <row r="8" spans="1:16" ht="15.6" x14ac:dyDescent="0.3">
      <c r="A8" s="13">
        <v>1</v>
      </c>
      <c r="B8" s="5" t="s">
        <v>9</v>
      </c>
      <c r="C8" s="14" t="s">
        <v>35</v>
      </c>
      <c r="D8" s="15"/>
      <c r="E8" s="35">
        <v>8</v>
      </c>
      <c r="F8" s="16">
        <v>66</v>
      </c>
      <c r="G8" s="11">
        <v>9</v>
      </c>
      <c r="H8" s="14" t="s">
        <v>40</v>
      </c>
      <c r="I8" s="8"/>
      <c r="J8" s="39">
        <v>8</v>
      </c>
      <c r="K8" s="3"/>
      <c r="L8" s="3"/>
      <c r="M8" s="3"/>
      <c r="N8" s="3"/>
      <c r="O8" s="3"/>
      <c r="P8" s="3"/>
    </row>
    <row r="9" spans="1:16" ht="15.6" x14ac:dyDescent="0.3">
      <c r="A9" s="13">
        <v>2</v>
      </c>
      <c r="B9" s="5" t="s">
        <v>10</v>
      </c>
      <c r="C9" s="14" t="s">
        <v>37</v>
      </c>
      <c r="D9" s="8"/>
      <c r="E9" s="35">
        <v>8</v>
      </c>
      <c r="F9" s="16"/>
      <c r="G9" s="11">
        <v>10</v>
      </c>
      <c r="H9" s="14"/>
      <c r="I9" s="8"/>
      <c r="J9" s="39"/>
      <c r="K9" s="3"/>
      <c r="L9" s="3"/>
      <c r="M9" s="3"/>
      <c r="N9" s="3"/>
      <c r="O9" s="3"/>
      <c r="P9" s="3"/>
    </row>
    <row r="10" spans="1:16" ht="15.6" x14ac:dyDescent="0.3">
      <c r="A10" s="13">
        <v>3</v>
      </c>
      <c r="B10" s="5" t="s">
        <v>11</v>
      </c>
      <c r="C10" s="14" t="s">
        <v>36</v>
      </c>
      <c r="D10" s="8"/>
      <c r="E10" s="35">
        <v>8</v>
      </c>
      <c r="F10" s="16">
        <v>78</v>
      </c>
      <c r="G10" s="11">
        <v>11</v>
      </c>
      <c r="H10" s="3"/>
      <c r="I10" s="8"/>
      <c r="J10" s="39"/>
      <c r="K10" s="3"/>
      <c r="L10" s="3"/>
      <c r="M10" s="3"/>
      <c r="N10" s="3"/>
      <c r="O10" s="3"/>
      <c r="P10" s="3"/>
    </row>
    <row r="11" spans="1:16" ht="15.6" x14ac:dyDescent="0.3">
      <c r="A11" s="13">
        <v>4</v>
      </c>
      <c r="B11" s="5" t="s">
        <v>12</v>
      </c>
      <c r="C11" s="14" t="s">
        <v>29</v>
      </c>
      <c r="D11" s="8"/>
      <c r="E11" s="35">
        <v>8</v>
      </c>
      <c r="F11" s="16"/>
      <c r="G11" s="11">
        <v>12</v>
      </c>
      <c r="H11" s="3"/>
      <c r="I11" s="8"/>
      <c r="J11" s="39"/>
      <c r="K11" s="3"/>
      <c r="L11" s="3"/>
      <c r="M11" s="3"/>
      <c r="N11" s="3"/>
      <c r="O11" s="3"/>
      <c r="P11" s="3"/>
    </row>
    <row r="12" spans="1:16" ht="15.6" x14ac:dyDescent="0.3">
      <c r="A12" s="13">
        <v>5</v>
      </c>
      <c r="B12" s="3"/>
      <c r="C12" s="31" t="s">
        <v>30</v>
      </c>
      <c r="D12" s="8"/>
      <c r="E12" s="35">
        <v>8</v>
      </c>
      <c r="F12" s="16"/>
      <c r="G12" s="11">
        <v>13</v>
      </c>
      <c r="H12" s="3"/>
      <c r="I12" s="8"/>
      <c r="J12" s="39"/>
      <c r="K12" s="3"/>
      <c r="L12" s="3"/>
      <c r="M12" s="3"/>
      <c r="N12" s="3"/>
      <c r="O12" s="3"/>
      <c r="P12" s="3"/>
    </row>
    <row r="13" spans="1:16" ht="15.6" x14ac:dyDescent="0.3">
      <c r="A13" s="13">
        <v>6</v>
      </c>
      <c r="B13" s="3"/>
      <c r="C13" s="14" t="s">
        <v>31</v>
      </c>
      <c r="D13" s="8"/>
      <c r="E13" s="35">
        <v>8</v>
      </c>
      <c r="F13" s="16">
        <v>74</v>
      </c>
      <c r="G13" s="11">
        <v>14</v>
      </c>
      <c r="H13" s="18"/>
      <c r="I13" s="8"/>
      <c r="J13" s="39"/>
      <c r="K13" s="3"/>
      <c r="L13" s="3"/>
      <c r="M13" s="3"/>
      <c r="N13" s="3"/>
      <c r="O13" s="3"/>
      <c r="P13" s="3"/>
    </row>
    <row r="14" spans="1:16" ht="15.6" x14ac:dyDescent="0.3">
      <c r="A14" s="13">
        <v>7</v>
      </c>
      <c r="B14" s="5" t="s">
        <v>52</v>
      </c>
      <c r="C14" s="14" t="s">
        <v>39</v>
      </c>
      <c r="D14" s="8"/>
      <c r="E14" s="35">
        <v>8</v>
      </c>
      <c r="F14" s="16"/>
      <c r="G14" s="11">
        <v>15</v>
      </c>
      <c r="H14" s="3"/>
      <c r="I14" s="8"/>
      <c r="J14" s="39"/>
      <c r="K14" s="3"/>
      <c r="L14" s="3"/>
      <c r="M14" s="3"/>
      <c r="N14" s="3"/>
      <c r="O14" s="3"/>
      <c r="P14" s="3"/>
    </row>
    <row r="15" spans="1:16" ht="15.6" x14ac:dyDescent="0.3">
      <c r="A15" s="13">
        <v>8</v>
      </c>
      <c r="B15" s="3"/>
      <c r="C15" s="14" t="s">
        <v>38</v>
      </c>
      <c r="D15" s="8"/>
      <c r="E15" s="35">
        <v>8</v>
      </c>
      <c r="F15" s="16"/>
      <c r="G15" s="11">
        <v>16</v>
      </c>
      <c r="H15" s="3"/>
      <c r="I15" s="8"/>
      <c r="J15" s="39"/>
      <c r="K15" s="3"/>
      <c r="L15" s="3"/>
      <c r="M15" s="3"/>
      <c r="N15" s="3"/>
      <c r="O15" s="3"/>
      <c r="P15" s="3"/>
    </row>
    <row r="16" spans="1:16" ht="15.6" x14ac:dyDescent="0.3">
      <c r="A16" s="3"/>
      <c r="B16" s="3"/>
      <c r="C16" s="3"/>
      <c r="D16" s="3"/>
      <c r="E16" s="3"/>
      <c r="F16" s="3"/>
      <c r="G16" s="13"/>
      <c r="H16" s="7" t="s">
        <v>13</v>
      </c>
      <c r="I16" s="3"/>
      <c r="J16" s="8">
        <f>SUM(E8:E15)+SUM(J8:J15)</f>
        <v>72</v>
      </c>
      <c r="K16" s="3"/>
      <c r="L16" s="3"/>
      <c r="M16" s="3"/>
      <c r="N16" s="3"/>
      <c r="O16" s="3"/>
      <c r="P16" s="3"/>
    </row>
    <row r="17" spans="1:16" ht="15.6" x14ac:dyDescent="0.3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  <c r="L17" s="3"/>
      <c r="M17" s="3"/>
      <c r="N17" s="3"/>
      <c r="O17" s="3"/>
      <c r="P17" s="3"/>
    </row>
    <row r="18" spans="1:16" ht="93.6" x14ac:dyDescent="0.3">
      <c r="A18" s="19"/>
      <c r="B18" s="20" t="s">
        <v>14</v>
      </c>
      <c r="C18" s="21" t="s">
        <v>15</v>
      </c>
      <c r="D18" s="22" t="s">
        <v>16</v>
      </c>
      <c r="E18" s="22" t="s">
        <v>17</v>
      </c>
      <c r="F18" s="22" t="s">
        <v>18</v>
      </c>
      <c r="G18" s="22" t="s">
        <v>19</v>
      </c>
      <c r="H18" s="22" t="s">
        <v>18</v>
      </c>
      <c r="I18" s="22" t="s">
        <v>19</v>
      </c>
      <c r="J18" s="22" t="s">
        <v>20</v>
      </c>
      <c r="K18" s="23" t="s">
        <v>21</v>
      </c>
      <c r="L18" s="24"/>
      <c r="M18" s="23" t="s">
        <v>22</v>
      </c>
      <c r="N18" s="23" t="s">
        <v>23</v>
      </c>
      <c r="O18" s="23" t="s">
        <v>24</v>
      </c>
      <c r="P18" s="23" t="s">
        <v>25</v>
      </c>
    </row>
    <row r="19" spans="1:16" ht="15.6" x14ac:dyDescent="0.3">
      <c r="A19" s="19"/>
      <c r="B19" s="19"/>
      <c r="C19" s="24"/>
      <c r="D19" s="24"/>
      <c r="E19" s="24"/>
      <c r="F19" s="24"/>
      <c r="G19" s="24"/>
      <c r="H19" s="24"/>
      <c r="I19" s="24"/>
      <c r="J19" s="24"/>
      <c r="K19" s="25"/>
      <c r="L19" s="24"/>
      <c r="M19" s="3"/>
      <c r="N19" s="3"/>
      <c r="O19" s="3"/>
      <c r="P19" s="3"/>
    </row>
    <row r="20" spans="1:16" ht="15.6" x14ac:dyDescent="0.3">
      <c r="A20" s="3"/>
      <c r="B20" s="8" t="s">
        <v>26</v>
      </c>
      <c r="C20" s="8">
        <v>1</v>
      </c>
      <c r="D20" s="8">
        <v>1</v>
      </c>
      <c r="E20" s="8"/>
      <c r="F20" s="8"/>
      <c r="G20" s="35">
        <v>0</v>
      </c>
      <c r="H20" s="8"/>
      <c r="I20" s="16"/>
      <c r="J20" s="35">
        <f>F20*G20+H20*I20</f>
        <v>0</v>
      </c>
      <c r="K20" s="16" t="e">
        <f>E20/(J20)</f>
        <v>#DIV/0!</v>
      </c>
      <c r="L20" s="3"/>
      <c r="M20" s="26">
        <v>0</v>
      </c>
      <c r="N20" s="27">
        <f>M20/C20</f>
        <v>0</v>
      </c>
      <c r="O20" s="35">
        <f>J20+'6-4-22'!O20</f>
        <v>108</v>
      </c>
      <c r="P20" s="26">
        <f>M20/O20</f>
        <v>0</v>
      </c>
    </row>
    <row r="21" spans="1:16" ht="15.6" x14ac:dyDescent="0.3">
      <c r="A21" s="3"/>
      <c r="B21" s="3"/>
      <c r="C21" s="3"/>
      <c r="D21" s="3"/>
      <c r="E21" s="3"/>
      <c r="F21" s="3"/>
      <c r="G21" s="40"/>
      <c r="H21" s="3"/>
      <c r="I21" s="28"/>
      <c r="J21" s="40"/>
      <c r="K21" s="28"/>
      <c r="L21" s="3"/>
      <c r="M21" s="29"/>
      <c r="N21" s="3"/>
      <c r="O21" s="3"/>
      <c r="P21" s="3"/>
    </row>
    <row r="22" spans="1:16" ht="15.6" x14ac:dyDescent="0.3">
      <c r="A22" s="3"/>
      <c r="B22" s="8" t="s">
        <v>53</v>
      </c>
      <c r="C22" s="8">
        <v>125400</v>
      </c>
      <c r="D22" s="41"/>
      <c r="E22" s="41"/>
      <c r="F22" s="8"/>
      <c r="G22" s="35"/>
      <c r="H22" s="8"/>
      <c r="I22" s="16"/>
      <c r="J22" s="35">
        <f>F22*G22+H22*I22</f>
        <v>0</v>
      </c>
      <c r="K22" s="16" t="e">
        <f>E22/(J22)</f>
        <v>#DIV/0!</v>
      </c>
      <c r="L22" s="3"/>
      <c r="M22" s="26">
        <f>E22+'5-26-22'!M22</f>
        <v>125400</v>
      </c>
      <c r="N22" s="27">
        <f>M22/C22</f>
        <v>1</v>
      </c>
      <c r="O22" s="35">
        <f>J22+'6-4-22'!O22</f>
        <v>679.75</v>
      </c>
      <c r="P22" s="26">
        <f>M22/O22</f>
        <v>184.47958808385437</v>
      </c>
    </row>
    <row r="23" spans="1:16" ht="15.6" x14ac:dyDescent="0.3">
      <c r="A23" s="3"/>
      <c r="B23" s="3"/>
      <c r="C23" s="3"/>
      <c r="D23" s="3"/>
      <c r="E23" s="3"/>
      <c r="F23" s="3"/>
      <c r="G23" s="40"/>
      <c r="H23" s="3"/>
      <c r="I23" s="28"/>
      <c r="J23" s="40"/>
      <c r="K23" s="28"/>
      <c r="L23" s="3"/>
      <c r="M23" s="29"/>
      <c r="N23" s="3"/>
      <c r="O23" s="36"/>
      <c r="P23" s="29"/>
    </row>
    <row r="24" spans="1:16" ht="15.6" x14ac:dyDescent="0.3">
      <c r="A24" s="3"/>
      <c r="B24" s="8" t="s">
        <v>54</v>
      </c>
      <c r="C24" s="8">
        <v>125400</v>
      </c>
      <c r="D24" s="8"/>
      <c r="E24" s="8"/>
      <c r="F24" s="8"/>
      <c r="G24" s="35"/>
      <c r="H24" s="8">
        <v>9</v>
      </c>
      <c r="I24" s="16">
        <v>8</v>
      </c>
      <c r="J24" s="35">
        <f>F24*G24+H24*I24</f>
        <v>72</v>
      </c>
      <c r="K24" s="16">
        <f>E24/(J24)</f>
        <v>0</v>
      </c>
      <c r="L24" s="3"/>
      <c r="M24" s="26">
        <f>E24+'6-4-22'!M24</f>
        <v>125400</v>
      </c>
      <c r="N24" s="27">
        <f>M24/C24</f>
        <v>1</v>
      </c>
      <c r="O24" s="35">
        <f>J24+'6-4-22'!O24</f>
        <v>449.75</v>
      </c>
      <c r="P24" s="26">
        <f>M24/O24</f>
        <v>278.82156753752082</v>
      </c>
    </row>
    <row r="25" spans="1:16" ht="15.6" x14ac:dyDescent="0.3">
      <c r="A25" s="3"/>
      <c r="B25" s="3"/>
      <c r="C25" s="3"/>
      <c r="D25" s="3"/>
      <c r="E25" s="3"/>
      <c r="F25" s="3"/>
      <c r="G25" s="36"/>
      <c r="H25" s="3"/>
      <c r="I25" s="4"/>
      <c r="J25" s="36"/>
      <c r="K25" s="4"/>
      <c r="L25" s="3"/>
      <c r="M25" s="29"/>
      <c r="N25" s="3"/>
      <c r="O25" s="3"/>
      <c r="P25" s="3"/>
    </row>
    <row r="26" spans="1:16" ht="15.6" x14ac:dyDescent="0.3">
      <c r="A26" s="3"/>
      <c r="B26" s="8" t="s">
        <v>44</v>
      </c>
      <c r="C26" s="8">
        <v>3040</v>
      </c>
      <c r="D26" s="8"/>
      <c r="E26" s="8"/>
      <c r="F26" s="8"/>
      <c r="G26" s="35"/>
      <c r="H26" s="8"/>
      <c r="I26" s="16"/>
      <c r="J26" s="35">
        <f>F26*G26+H26*I26</f>
        <v>0</v>
      </c>
      <c r="K26" s="16" t="e">
        <f>E26/(J26)</f>
        <v>#DIV/0!</v>
      </c>
      <c r="L26" s="3"/>
      <c r="M26" s="26">
        <f>E26+'6-4-22'!M26</f>
        <v>0</v>
      </c>
      <c r="N26" s="27">
        <f>M26/C26</f>
        <v>0</v>
      </c>
      <c r="O26" s="35">
        <f>J26+'6-4-22'!O26</f>
        <v>27</v>
      </c>
      <c r="P26" s="26">
        <f>M26/O26</f>
        <v>0</v>
      </c>
    </row>
    <row r="27" spans="1:16" ht="15.6" x14ac:dyDescent="0.3">
      <c r="A27" s="3"/>
      <c r="B27" s="3"/>
      <c r="C27" s="3"/>
      <c r="D27" s="3"/>
      <c r="E27" s="3"/>
      <c r="F27" s="3"/>
      <c r="G27" s="36"/>
      <c r="H27" s="3"/>
      <c r="I27" s="4"/>
      <c r="J27" s="36"/>
      <c r="K27" s="4"/>
      <c r="L27" s="3"/>
      <c r="M27" s="29"/>
      <c r="N27" s="3"/>
      <c r="O27" s="3"/>
      <c r="P27" s="3"/>
    </row>
    <row r="28" spans="1:16" ht="15.6" x14ac:dyDescent="0.3">
      <c r="A28" s="3"/>
      <c r="B28" s="8" t="s">
        <v>45</v>
      </c>
      <c r="C28" s="8">
        <v>3040</v>
      </c>
      <c r="D28" s="8"/>
      <c r="E28" s="8"/>
      <c r="F28" s="8"/>
      <c r="G28" s="35"/>
      <c r="H28" s="8"/>
      <c r="I28" s="16"/>
      <c r="J28" s="35">
        <f>F28*G28+H28*I28</f>
        <v>0</v>
      </c>
      <c r="K28" s="16" t="e">
        <f>E28/(J28)</f>
        <v>#DIV/0!</v>
      </c>
      <c r="L28" s="3"/>
      <c r="M28" s="26">
        <f>E28+'6-4-22'!M28</f>
        <v>0</v>
      </c>
      <c r="N28" s="27">
        <f>M28/C28</f>
        <v>0</v>
      </c>
      <c r="O28" s="35">
        <f>J28+'6-4-22'!O28</f>
        <v>0</v>
      </c>
      <c r="P28" s="26" t="e">
        <f>M28/O28</f>
        <v>#DIV/0!</v>
      </c>
    </row>
    <row r="29" spans="1:16" ht="15.6" x14ac:dyDescent="0.3">
      <c r="A29" s="3"/>
      <c r="B29" s="3"/>
      <c r="C29" s="3"/>
      <c r="D29" s="3"/>
      <c r="E29" s="3"/>
      <c r="F29" s="3"/>
      <c r="G29" s="36"/>
      <c r="H29" s="3"/>
      <c r="I29" s="4"/>
      <c r="J29" s="36"/>
      <c r="K29" s="4"/>
      <c r="L29" s="3"/>
      <c r="M29" s="29"/>
      <c r="N29" s="3"/>
      <c r="O29" s="3"/>
      <c r="P29" s="3"/>
    </row>
    <row r="30" spans="1:16" ht="15.6" x14ac:dyDescent="0.3">
      <c r="A30" s="3"/>
      <c r="B30" s="8" t="s">
        <v>47</v>
      </c>
      <c r="C30" s="8">
        <v>125400</v>
      </c>
      <c r="D30" s="8"/>
      <c r="E30" s="8"/>
      <c r="F30" s="8"/>
      <c r="G30" s="35"/>
      <c r="H30" s="8"/>
      <c r="I30" s="35"/>
      <c r="J30" s="35">
        <f>F30*G30+H30*I30</f>
        <v>0</v>
      </c>
      <c r="K30" s="16" t="e">
        <f>E30/(J30)</f>
        <v>#DIV/0!</v>
      </c>
      <c r="L30" s="3"/>
      <c r="M30" s="26">
        <f>E30+'6-4-22'!M30</f>
        <v>0</v>
      </c>
      <c r="N30" s="53">
        <f>M30/C30</f>
        <v>0</v>
      </c>
      <c r="O30" s="35">
        <f>J30+'6-4-22'!O30</f>
        <v>49.5</v>
      </c>
      <c r="P30" s="26">
        <f>M30/O30</f>
        <v>0</v>
      </c>
    </row>
    <row r="31" spans="1:16" ht="15.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7"/>
      <c r="O31" s="3"/>
      <c r="P31" s="3"/>
    </row>
    <row r="32" spans="1:16" ht="15.6" x14ac:dyDescent="0.3">
      <c r="A32" s="3"/>
      <c r="B32" s="8" t="s">
        <v>46</v>
      </c>
      <c r="C32" s="8">
        <v>324</v>
      </c>
      <c r="D32" s="8"/>
      <c r="E32" s="8"/>
      <c r="F32" s="8"/>
      <c r="G32" s="35"/>
      <c r="H32" s="8"/>
      <c r="I32" s="16"/>
      <c r="J32" s="35">
        <f>F32*G32+H32*I32</f>
        <v>0</v>
      </c>
      <c r="K32" s="16" t="e">
        <f>E32/(J32)</f>
        <v>#DIV/0!</v>
      </c>
      <c r="L32" s="3"/>
      <c r="M32" s="26">
        <f>E32+'6-4-22'!M32</f>
        <v>0</v>
      </c>
      <c r="N32" s="27">
        <f>M32/C32</f>
        <v>0</v>
      </c>
      <c r="O32" s="35">
        <f>J32+'6-4-22'!O32</f>
        <v>0</v>
      </c>
      <c r="P32" s="26" t="e">
        <f>M32/O32</f>
        <v>#DIV/0!</v>
      </c>
    </row>
    <row r="33" spans="1:16" ht="15.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7"/>
      <c r="O33" s="3"/>
      <c r="P33" s="3"/>
    </row>
    <row r="34" spans="1:16" ht="15.6" x14ac:dyDescent="0.3">
      <c r="A34" s="3"/>
      <c r="B34" s="8" t="s">
        <v>48</v>
      </c>
      <c r="C34" s="8">
        <v>115000</v>
      </c>
      <c r="D34" s="8"/>
      <c r="E34" s="8"/>
      <c r="F34" s="8"/>
      <c r="G34" s="35"/>
      <c r="H34" s="8"/>
      <c r="I34" s="16"/>
      <c r="J34" s="35">
        <f>F34*G34+H34*I34</f>
        <v>0</v>
      </c>
      <c r="K34" s="16" t="e">
        <f>E34/(J34)</f>
        <v>#DIV/0!</v>
      </c>
      <c r="L34" s="3"/>
      <c r="M34" s="26">
        <f>E34+'6-4-22'!M34</f>
        <v>0</v>
      </c>
      <c r="N34" s="27">
        <f>M34/C34</f>
        <v>0</v>
      </c>
      <c r="O34" s="35">
        <f>J34+'6-4-22'!O34</f>
        <v>0</v>
      </c>
      <c r="P34" s="26" t="e">
        <f>M34/O34</f>
        <v>#DIV/0!</v>
      </c>
    </row>
    <row r="35" spans="1:16" ht="15.6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27"/>
      <c r="O35" s="3"/>
      <c r="P35" s="3"/>
    </row>
    <row r="36" spans="1:16" ht="15.6" x14ac:dyDescent="0.3">
      <c r="A36" s="3"/>
      <c r="B36" s="8" t="s">
        <v>49</v>
      </c>
      <c r="C36" s="8">
        <v>8</v>
      </c>
      <c r="D36" s="8"/>
      <c r="E36" s="8"/>
      <c r="F36" s="8"/>
      <c r="G36" s="35"/>
      <c r="H36" s="8"/>
      <c r="I36" s="16"/>
      <c r="J36" s="35">
        <f>F36*G36+H36*I36</f>
        <v>0</v>
      </c>
      <c r="K36" s="16" t="e">
        <f>E36/(J36)</f>
        <v>#DIV/0!</v>
      </c>
      <c r="L36" s="3"/>
      <c r="M36" s="26">
        <f>E36+'6-4-22'!M36</f>
        <v>0</v>
      </c>
      <c r="N36" s="27">
        <f>M36/C36</f>
        <v>0</v>
      </c>
      <c r="O36" s="35">
        <f>J36+'6-4-22'!O36</f>
        <v>24</v>
      </c>
      <c r="P36" s="26">
        <f>M36/O36</f>
        <v>0</v>
      </c>
    </row>
    <row r="37" spans="1:16" ht="15.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27"/>
      <c r="O37" s="3"/>
      <c r="P37" s="3"/>
    </row>
    <row r="38" spans="1:16" ht="15.6" x14ac:dyDescent="0.3">
      <c r="A38" s="3"/>
      <c r="B38" s="8" t="s">
        <v>50</v>
      </c>
      <c r="C38" s="8">
        <f>2760+480</f>
        <v>3240</v>
      </c>
      <c r="D38" s="8"/>
      <c r="E38" s="8"/>
      <c r="F38" s="8"/>
      <c r="G38" s="35"/>
      <c r="H38" s="8"/>
      <c r="I38" s="16"/>
      <c r="J38" s="35">
        <f>F38*G38+H38*I38</f>
        <v>0</v>
      </c>
      <c r="K38" s="16" t="e">
        <f>E38/(J38)</f>
        <v>#DIV/0!</v>
      </c>
      <c r="L38" s="3"/>
      <c r="M38" s="26">
        <f>E38+'6-4-22'!M38</f>
        <v>555</v>
      </c>
      <c r="N38" s="27">
        <f>M38/C38</f>
        <v>0.17129629629629631</v>
      </c>
      <c r="O38" s="35">
        <f>J38+'6-4-22'!O38</f>
        <v>25.5</v>
      </c>
      <c r="P38" s="26">
        <f>M38/O38</f>
        <v>21.764705882352942</v>
      </c>
    </row>
    <row r="39" spans="1:16" ht="15.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7"/>
      <c r="O39" s="3"/>
      <c r="P39" s="3"/>
    </row>
    <row r="40" spans="1:16" ht="15.6" x14ac:dyDescent="0.3">
      <c r="A40" s="3"/>
      <c r="B40" s="8" t="s">
        <v>115</v>
      </c>
      <c r="C40" s="8">
        <v>25</v>
      </c>
      <c r="D40" s="8"/>
      <c r="E40" s="8"/>
      <c r="F40" s="8"/>
      <c r="G40" s="35"/>
      <c r="H40" s="8"/>
      <c r="I40" s="16"/>
      <c r="J40" s="35">
        <f>F40*G40+H40*I40</f>
        <v>0</v>
      </c>
      <c r="K40" s="16" t="e">
        <f>E40/(J40)</f>
        <v>#DIV/0!</v>
      </c>
      <c r="L40" s="3"/>
      <c r="M40" s="26">
        <f>E40+'6-4-22'!M40</f>
        <v>0</v>
      </c>
      <c r="N40" s="27">
        <f>M40/C40</f>
        <v>0</v>
      </c>
      <c r="O40" s="35">
        <f>J40+'6-4-22'!O40</f>
        <v>0</v>
      </c>
      <c r="P40" s="26" t="e">
        <f>M40/O40</f>
        <v>#DIV/0!</v>
      </c>
    </row>
    <row r="41" spans="1:16" ht="15.6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27"/>
      <c r="O41" s="3"/>
      <c r="P41" s="3"/>
    </row>
    <row r="42" spans="1:16" ht="15.6" x14ac:dyDescent="0.3">
      <c r="A42" s="3"/>
      <c r="B42" s="8" t="s">
        <v>113</v>
      </c>
      <c r="C42" s="8" t="s">
        <v>52</v>
      </c>
      <c r="D42" s="8"/>
      <c r="E42" s="8"/>
      <c r="F42" s="8"/>
      <c r="G42" s="35"/>
      <c r="H42" s="8"/>
      <c r="I42" s="16"/>
      <c r="J42" s="35">
        <f>F42*G42+H42*I42</f>
        <v>0</v>
      </c>
      <c r="K42" s="16" t="e">
        <f>E42/(J42)</f>
        <v>#DIV/0!</v>
      </c>
      <c r="L42" s="3"/>
      <c r="M42" s="26">
        <f>E42+'6-4-22'!M42</f>
        <v>0</v>
      </c>
      <c r="N42" s="53" t="e">
        <f>M42/C42</f>
        <v>#VALUE!</v>
      </c>
      <c r="O42" s="35">
        <f>J42+'6-4-22'!O42</f>
        <v>0</v>
      </c>
      <c r="P42" s="26" t="e">
        <f>M42/O42</f>
        <v>#DIV/0!</v>
      </c>
    </row>
    <row r="43" spans="1:16" ht="15.6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27"/>
      <c r="O43" s="3"/>
      <c r="P43" s="3"/>
    </row>
    <row r="44" spans="1:16" ht="15.6" x14ac:dyDescent="0.3">
      <c r="A44" s="3"/>
      <c r="B44" s="8" t="s">
        <v>114</v>
      </c>
      <c r="C44" s="8" t="s">
        <v>52</v>
      </c>
      <c r="D44" s="8"/>
      <c r="E44" s="8"/>
      <c r="F44" s="8"/>
      <c r="G44" s="35"/>
      <c r="H44" s="8"/>
      <c r="I44" s="16"/>
      <c r="J44" s="35">
        <f>F44*G44+H44*I44</f>
        <v>0</v>
      </c>
      <c r="K44" s="16" t="e">
        <f>E44/(J44)</f>
        <v>#DIV/0!</v>
      </c>
      <c r="L44" s="3"/>
      <c r="M44" s="26">
        <f>E44+'6-4-22'!M44</f>
        <v>0</v>
      </c>
      <c r="N44" s="53" t="e">
        <f>M44/C44</f>
        <v>#VALUE!</v>
      </c>
      <c r="O44" s="35">
        <f>J44+'6-4-22'!O44</f>
        <v>0</v>
      </c>
      <c r="P44" s="26" t="e">
        <f>M44/O44</f>
        <v>#DIV/0!</v>
      </c>
    </row>
    <row r="45" spans="1:16" ht="15.6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27"/>
      <c r="O45" s="3"/>
      <c r="P45" s="3"/>
    </row>
    <row r="46" spans="1:16" ht="15.6" x14ac:dyDescent="0.3">
      <c r="A46" s="3"/>
      <c r="B46" s="8" t="s">
        <v>75</v>
      </c>
      <c r="C46" s="8"/>
      <c r="D46" s="8"/>
      <c r="E46" s="8"/>
      <c r="F46" s="8"/>
      <c r="G46" s="35"/>
      <c r="H46" s="8"/>
      <c r="I46" s="16"/>
      <c r="J46" s="35">
        <f>F46*G46+H46*I46</f>
        <v>0</v>
      </c>
      <c r="K46" s="16" t="e">
        <f>E46/(J46)</f>
        <v>#DIV/0!</v>
      </c>
      <c r="L46" s="3"/>
      <c r="M46" s="26">
        <f>E46+'6-4-22'!M46</f>
        <v>0</v>
      </c>
      <c r="N46" s="53" t="e">
        <f>M46/C46</f>
        <v>#DIV/0!</v>
      </c>
      <c r="O46" s="35">
        <f>J46+'6-4-22'!O46</f>
        <v>207.75</v>
      </c>
      <c r="P46" s="26">
        <f>M46/O46</f>
        <v>0</v>
      </c>
    </row>
    <row r="47" spans="1:16" ht="15.6" x14ac:dyDescent="0.3">
      <c r="A47" s="3"/>
      <c r="B47" s="3" t="s">
        <v>27</v>
      </c>
      <c r="C47" s="3"/>
      <c r="D47" s="3"/>
      <c r="E47" s="3"/>
      <c r="F47" s="3"/>
      <c r="G47" s="3"/>
      <c r="H47" s="30"/>
      <c r="I47" s="4"/>
      <c r="J47" s="3">
        <f>J20+J22+J24+J26+J28+J30+J32+J34+J36+J38+J40+J42+J44+J46</f>
        <v>72</v>
      </c>
      <c r="K47" s="3"/>
      <c r="L47" s="3"/>
      <c r="M47" s="3"/>
      <c r="N47" s="3"/>
      <c r="O47" s="3">
        <f>O20+O22+O24+O26+O28+O30+O32+O34+O36+O38+O40+O42+O44+O46</f>
        <v>1571.25</v>
      </c>
      <c r="P47" s="3"/>
    </row>
    <row r="48" spans="1:16" ht="15.6" x14ac:dyDescent="0.3">
      <c r="A48" s="3"/>
      <c r="B48" s="3"/>
      <c r="C48" s="3"/>
      <c r="D48" s="3"/>
      <c r="E48" s="3"/>
      <c r="F48" s="3"/>
      <c r="G48" s="3"/>
      <c r="H48" s="3"/>
      <c r="I48" s="4"/>
      <c r="J48" s="3"/>
      <c r="K48" s="3"/>
      <c r="L48" s="3"/>
      <c r="M48" s="3"/>
      <c r="N48" s="3"/>
      <c r="O48" s="3"/>
      <c r="P48" s="3"/>
    </row>
    <row r="49" spans="1:16" ht="15.6" x14ac:dyDescent="0.3">
      <c r="A49" s="3"/>
      <c r="B49" s="3" t="s">
        <v>28</v>
      </c>
      <c r="C49" s="3" t="s">
        <v>125</v>
      </c>
      <c r="D49" s="3"/>
      <c r="E49" s="3"/>
      <c r="F49" s="3"/>
      <c r="G49" s="3"/>
      <c r="H49" s="3"/>
      <c r="I49" s="4"/>
      <c r="J49" s="3"/>
      <c r="K49" s="3"/>
      <c r="L49" s="3"/>
      <c r="M49" s="3"/>
      <c r="N49" s="3"/>
      <c r="O49" s="3"/>
      <c r="P49" s="3"/>
    </row>
    <row r="50" spans="1:16" ht="15.6" x14ac:dyDescent="0.3">
      <c r="C50" s="33"/>
    </row>
    <row r="51" spans="1:16" ht="15.6" x14ac:dyDescent="0.3">
      <c r="B51" s="3" t="s">
        <v>32</v>
      </c>
      <c r="C51" s="33" t="s">
        <v>126</v>
      </c>
    </row>
    <row r="52" spans="1:16" ht="15.6" x14ac:dyDescent="0.3">
      <c r="C52" s="33"/>
    </row>
    <row r="53" spans="1:16" ht="15.6" x14ac:dyDescent="0.3">
      <c r="B53" s="3" t="s">
        <v>33</v>
      </c>
      <c r="C53" s="3" t="s">
        <v>127</v>
      </c>
    </row>
  </sheetData>
  <mergeCells count="2">
    <mergeCell ref="A1:G1"/>
    <mergeCell ref="H7:I7"/>
  </mergeCells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A8C-686B-43E9-9086-F586E9A45780}">
  <dimension ref="A1:P53"/>
  <sheetViews>
    <sheetView topLeftCell="A25" zoomScale="85" zoomScaleNormal="85" workbookViewId="0">
      <selection activeCell="M46" sqref="M46"/>
    </sheetView>
  </sheetViews>
  <sheetFormatPr defaultRowHeight="14.4" x14ac:dyDescent="0.3"/>
  <cols>
    <col min="1" max="1" width="11.33203125" customWidth="1"/>
    <col min="2" max="2" width="29.33203125" customWidth="1"/>
    <col min="3" max="3" width="22.109375" customWidth="1"/>
    <col min="4" max="4" width="14.88671875" customWidth="1"/>
    <col min="5" max="5" width="16.6640625" customWidth="1"/>
    <col min="6" max="6" width="17.44140625" customWidth="1"/>
    <col min="8" max="8" width="20.44140625" customWidth="1"/>
    <col min="11" max="11" width="9.6640625" bestFit="1" customWidth="1"/>
    <col min="13" max="13" width="10.6640625" customWidth="1"/>
    <col min="14" max="14" width="10" bestFit="1" customWidth="1"/>
    <col min="15" max="15" width="10.6640625" customWidth="1"/>
  </cols>
  <sheetData>
    <row r="1" spans="1:16" ht="18" x14ac:dyDescent="0.35">
      <c r="A1" s="66" t="s">
        <v>0</v>
      </c>
      <c r="B1" s="66"/>
      <c r="C1" s="66"/>
      <c r="D1" s="66"/>
      <c r="E1" s="66"/>
      <c r="F1" s="66"/>
      <c r="G1" s="66"/>
      <c r="H1" s="1"/>
      <c r="I1" s="2"/>
      <c r="J1" s="1"/>
      <c r="K1" s="1"/>
      <c r="L1" s="1"/>
      <c r="M1" s="1"/>
      <c r="N1" s="1"/>
      <c r="O1" s="1"/>
      <c r="P1" s="1"/>
    </row>
    <row r="2" spans="1:16" ht="15.6" x14ac:dyDescent="0.3">
      <c r="A2" s="3"/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</row>
    <row r="3" spans="1:16" ht="15.6" x14ac:dyDescent="0.3">
      <c r="A3" s="3"/>
      <c r="B3" s="5" t="s">
        <v>1</v>
      </c>
      <c r="C3" s="6" t="s">
        <v>43</v>
      </c>
      <c r="D3" s="7"/>
      <c r="E3" s="3"/>
      <c r="F3" s="5" t="s">
        <v>2</v>
      </c>
      <c r="G3" s="8">
        <v>4355</v>
      </c>
      <c r="H3" s="5" t="s">
        <v>41</v>
      </c>
      <c r="I3" s="36">
        <v>49</v>
      </c>
      <c r="J3" s="3"/>
      <c r="K3" s="3"/>
      <c r="L3" s="3"/>
      <c r="M3" s="3"/>
      <c r="N3" s="3"/>
      <c r="O3" s="3"/>
      <c r="P3" s="3"/>
    </row>
    <row r="4" spans="1:16" ht="15.6" x14ac:dyDescent="0.3">
      <c r="A4" s="3"/>
      <c r="B4" s="5" t="s">
        <v>3</v>
      </c>
      <c r="C4" s="37">
        <v>300155</v>
      </c>
      <c r="D4" s="7"/>
      <c r="E4" s="3"/>
      <c r="F4" s="5" t="s">
        <v>4</v>
      </c>
      <c r="G4" s="8">
        <f>J16+'6-3-22'!G4</f>
        <v>1499.25</v>
      </c>
      <c r="H4" s="34" t="s">
        <v>42</v>
      </c>
      <c r="I4" s="4">
        <v>20</v>
      </c>
      <c r="J4" s="3"/>
      <c r="K4" s="3"/>
      <c r="L4" s="3"/>
      <c r="M4" s="3"/>
      <c r="N4" s="3"/>
      <c r="O4" s="3"/>
      <c r="P4" s="3"/>
    </row>
    <row r="5" spans="1:16" ht="15.6" x14ac:dyDescent="0.3">
      <c r="A5" s="3"/>
      <c r="B5" s="5" t="s">
        <v>5</v>
      </c>
      <c r="C5" s="38">
        <v>44716</v>
      </c>
      <c r="D5" s="3"/>
      <c r="E5" s="3"/>
      <c r="F5" s="3"/>
      <c r="G5" s="3"/>
      <c r="H5" s="3"/>
      <c r="I5" s="4"/>
      <c r="J5" s="3"/>
      <c r="K5" s="3"/>
      <c r="L5" s="3"/>
      <c r="M5" s="3"/>
      <c r="N5" s="3"/>
      <c r="O5" s="3"/>
      <c r="P5" s="3"/>
    </row>
    <row r="6" spans="1:16" ht="15.6" x14ac:dyDescent="0.3">
      <c r="A6" s="3"/>
      <c r="B6" s="5"/>
      <c r="C6" s="3"/>
      <c r="D6" s="3"/>
      <c r="E6" s="3"/>
      <c r="F6" s="3"/>
      <c r="G6" s="3"/>
      <c r="H6" s="3"/>
      <c r="I6" s="4"/>
      <c r="J6" s="3"/>
      <c r="K6" s="3"/>
      <c r="L6" s="3"/>
      <c r="M6" s="3"/>
      <c r="N6" s="3"/>
      <c r="O6" s="3"/>
      <c r="P6" s="3"/>
    </row>
    <row r="7" spans="1:16" ht="15.6" x14ac:dyDescent="0.3">
      <c r="A7" s="10" t="s">
        <v>6</v>
      </c>
      <c r="B7" s="11"/>
      <c r="C7" s="12" t="s">
        <v>7</v>
      </c>
      <c r="D7" s="3"/>
      <c r="E7" s="12" t="s">
        <v>8</v>
      </c>
      <c r="F7" s="12" t="s">
        <v>34</v>
      </c>
      <c r="G7" s="3"/>
      <c r="H7" s="67" t="s">
        <v>7</v>
      </c>
      <c r="I7" s="67"/>
      <c r="J7" s="12" t="s">
        <v>8</v>
      </c>
      <c r="K7" s="3"/>
      <c r="L7" s="3"/>
      <c r="M7" s="3"/>
      <c r="N7" s="3"/>
      <c r="O7" s="3"/>
      <c r="P7" s="3"/>
    </row>
    <row r="8" spans="1:16" ht="15.6" x14ac:dyDescent="0.3">
      <c r="A8" s="13">
        <v>1</v>
      </c>
      <c r="B8" s="5" t="s">
        <v>9</v>
      </c>
      <c r="C8" s="14" t="s">
        <v>35</v>
      </c>
      <c r="D8" s="15"/>
      <c r="E8" s="35">
        <v>9.25</v>
      </c>
      <c r="F8" s="16">
        <v>66</v>
      </c>
      <c r="G8" s="11">
        <v>9</v>
      </c>
      <c r="H8" s="14" t="s">
        <v>40</v>
      </c>
      <c r="I8" s="8"/>
      <c r="J8" s="39">
        <v>9.25</v>
      </c>
      <c r="K8" s="3"/>
      <c r="L8" s="3"/>
      <c r="M8" s="3"/>
      <c r="N8" s="3"/>
      <c r="O8" s="3"/>
      <c r="P8" s="3"/>
    </row>
    <row r="9" spans="1:16" ht="15.6" x14ac:dyDescent="0.3">
      <c r="A9" s="13">
        <v>2</v>
      </c>
      <c r="B9" s="5" t="s">
        <v>10</v>
      </c>
      <c r="C9" s="14" t="s">
        <v>37</v>
      </c>
      <c r="D9" s="8"/>
      <c r="E9" s="35">
        <v>9.25</v>
      </c>
      <c r="F9" s="16"/>
      <c r="G9" s="11">
        <v>10</v>
      </c>
      <c r="H9" s="14"/>
      <c r="I9" s="8"/>
      <c r="J9" s="39"/>
      <c r="K9" s="3"/>
      <c r="L9" s="3"/>
      <c r="M9" s="3"/>
      <c r="N9" s="3"/>
      <c r="O9" s="3"/>
      <c r="P9" s="3"/>
    </row>
    <row r="10" spans="1:16" ht="15.6" x14ac:dyDescent="0.3">
      <c r="A10" s="13">
        <v>3</v>
      </c>
      <c r="B10" s="5" t="s">
        <v>11</v>
      </c>
      <c r="C10" s="14" t="s">
        <v>36</v>
      </c>
      <c r="D10" s="8"/>
      <c r="E10" s="35">
        <v>9.25</v>
      </c>
      <c r="F10" s="16">
        <v>78</v>
      </c>
      <c r="G10" s="11">
        <v>11</v>
      </c>
      <c r="H10" s="3"/>
      <c r="I10" s="8"/>
      <c r="J10" s="39"/>
      <c r="K10" s="3"/>
      <c r="L10" s="3"/>
      <c r="M10" s="3"/>
      <c r="N10" s="3"/>
      <c r="O10" s="3"/>
      <c r="P10" s="3"/>
    </row>
    <row r="11" spans="1:16" ht="15.6" x14ac:dyDescent="0.3">
      <c r="A11" s="13">
        <v>4</v>
      </c>
      <c r="B11" s="5" t="s">
        <v>12</v>
      </c>
      <c r="C11" s="14" t="s">
        <v>29</v>
      </c>
      <c r="D11" s="8"/>
      <c r="E11" s="35">
        <v>9.25</v>
      </c>
      <c r="F11" s="16"/>
      <c r="G11" s="11">
        <v>12</v>
      </c>
      <c r="H11" s="3"/>
      <c r="I11" s="8"/>
      <c r="J11" s="39"/>
      <c r="K11" s="3"/>
      <c r="L11" s="3"/>
      <c r="M11" s="3"/>
      <c r="N11" s="3"/>
      <c r="O11" s="3"/>
      <c r="P11" s="3"/>
    </row>
    <row r="12" spans="1:16" ht="15.6" x14ac:dyDescent="0.3">
      <c r="A12" s="13">
        <v>5</v>
      </c>
      <c r="B12" s="3"/>
      <c r="C12" s="31" t="s">
        <v>30</v>
      </c>
      <c r="D12" s="8"/>
      <c r="E12" s="35">
        <v>9.25</v>
      </c>
      <c r="F12" s="16"/>
      <c r="G12" s="11">
        <v>13</v>
      </c>
      <c r="H12" s="3"/>
      <c r="I12" s="8"/>
      <c r="J12" s="39"/>
      <c r="K12" s="3"/>
      <c r="L12" s="3"/>
      <c r="M12" s="3"/>
      <c r="N12" s="3"/>
      <c r="O12" s="3"/>
      <c r="P12" s="3"/>
    </row>
    <row r="13" spans="1:16" ht="15.6" x14ac:dyDescent="0.3">
      <c r="A13" s="13">
        <v>6</v>
      </c>
      <c r="B13" s="3"/>
      <c r="C13" s="14" t="s">
        <v>31</v>
      </c>
      <c r="D13" s="8"/>
      <c r="E13" s="35">
        <v>9.25</v>
      </c>
      <c r="F13" s="16">
        <v>74</v>
      </c>
      <c r="G13" s="11">
        <v>14</v>
      </c>
      <c r="H13" s="18"/>
      <c r="I13" s="8"/>
      <c r="J13" s="39"/>
      <c r="K13" s="3"/>
      <c r="L13" s="3"/>
      <c r="M13" s="3"/>
      <c r="N13" s="3"/>
      <c r="O13" s="3"/>
      <c r="P13" s="3"/>
    </row>
    <row r="14" spans="1:16" ht="15.6" x14ac:dyDescent="0.3">
      <c r="A14" s="13">
        <v>7</v>
      </c>
      <c r="B14" s="5" t="s">
        <v>52</v>
      </c>
      <c r="C14" s="14" t="s">
        <v>39</v>
      </c>
      <c r="D14" s="8"/>
      <c r="E14" s="35">
        <v>9.25</v>
      </c>
      <c r="F14" s="16"/>
      <c r="G14" s="11">
        <v>15</v>
      </c>
      <c r="H14" s="3"/>
      <c r="I14" s="8"/>
      <c r="J14" s="39"/>
      <c r="K14" s="3"/>
      <c r="L14" s="3"/>
      <c r="M14" s="3"/>
      <c r="N14" s="3"/>
      <c r="O14" s="3"/>
      <c r="P14" s="3"/>
    </row>
    <row r="15" spans="1:16" ht="15.6" x14ac:dyDescent="0.3">
      <c r="A15" s="13">
        <v>8</v>
      </c>
      <c r="B15" s="3"/>
      <c r="C15" s="14" t="s">
        <v>38</v>
      </c>
      <c r="D15" s="8"/>
      <c r="E15" s="35">
        <v>9.25</v>
      </c>
      <c r="F15" s="16"/>
      <c r="G15" s="11">
        <v>16</v>
      </c>
      <c r="H15" s="3"/>
      <c r="I15" s="8"/>
      <c r="J15" s="39"/>
      <c r="K15" s="3"/>
      <c r="L15" s="3"/>
      <c r="M15" s="3"/>
      <c r="N15" s="3"/>
      <c r="O15" s="3"/>
      <c r="P15" s="3"/>
    </row>
    <row r="16" spans="1:16" ht="15.6" x14ac:dyDescent="0.3">
      <c r="A16" s="3"/>
      <c r="B16" s="3"/>
      <c r="C16" s="3"/>
      <c r="D16" s="3"/>
      <c r="E16" s="3"/>
      <c r="F16" s="3"/>
      <c r="G16" s="13"/>
      <c r="H16" s="7" t="s">
        <v>13</v>
      </c>
      <c r="I16" s="3"/>
      <c r="J16" s="8">
        <f>SUM(E8:E15)+SUM(J8:J15)</f>
        <v>83.25</v>
      </c>
      <c r="K16" s="3"/>
      <c r="L16" s="3"/>
      <c r="M16" s="3"/>
      <c r="N16" s="3"/>
      <c r="O16" s="3"/>
      <c r="P16" s="3"/>
    </row>
    <row r="17" spans="1:16" ht="15.6" x14ac:dyDescent="0.3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  <c r="L17" s="3"/>
      <c r="M17" s="3"/>
      <c r="N17" s="3"/>
      <c r="O17" s="3"/>
      <c r="P17" s="3"/>
    </row>
    <row r="18" spans="1:16" ht="93.6" x14ac:dyDescent="0.3">
      <c r="A18" s="19"/>
      <c r="B18" s="20" t="s">
        <v>14</v>
      </c>
      <c r="C18" s="21" t="s">
        <v>15</v>
      </c>
      <c r="D18" s="22" t="s">
        <v>16</v>
      </c>
      <c r="E18" s="22" t="s">
        <v>17</v>
      </c>
      <c r="F18" s="22" t="s">
        <v>18</v>
      </c>
      <c r="G18" s="22" t="s">
        <v>19</v>
      </c>
      <c r="H18" s="22" t="s">
        <v>18</v>
      </c>
      <c r="I18" s="22" t="s">
        <v>19</v>
      </c>
      <c r="J18" s="22" t="s">
        <v>20</v>
      </c>
      <c r="K18" s="23" t="s">
        <v>21</v>
      </c>
      <c r="L18" s="24"/>
      <c r="M18" s="23" t="s">
        <v>22</v>
      </c>
      <c r="N18" s="23" t="s">
        <v>23</v>
      </c>
      <c r="O18" s="23" t="s">
        <v>24</v>
      </c>
      <c r="P18" s="23" t="s">
        <v>25</v>
      </c>
    </row>
    <row r="19" spans="1:16" ht="15.6" x14ac:dyDescent="0.3">
      <c r="A19" s="19"/>
      <c r="B19" s="19"/>
      <c r="C19" s="24"/>
      <c r="D19" s="24"/>
      <c r="E19" s="24"/>
      <c r="F19" s="24"/>
      <c r="G19" s="24"/>
      <c r="H19" s="24"/>
      <c r="I19" s="24"/>
      <c r="J19" s="24"/>
      <c r="K19" s="25"/>
      <c r="L19" s="24"/>
      <c r="M19" s="3"/>
      <c r="N19" s="3"/>
      <c r="O19" s="3"/>
      <c r="P19" s="3"/>
    </row>
    <row r="20" spans="1:16" ht="15.6" x14ac:dyDescent="0.3">
      <c r="A20" s="3"/>
      <c r="B20" s="8" t="s">
        <v>26</v>
      </c>
      <c r="C20" s="8">
        <v>1</v>
      </c>
      <c r="D20" s="8">
        <v>1</v>
      </c>
      <c r="E20" s="8"/>
      <c r="F20" s="8"/>
      <c r="G20" s="35">
        <v>0</v>
      </c>
      <c r="H20" s="8"/>
      <c r="I20" s="16"/>
      <c r="J20" s="35">
        <f>F20*G20+H20*I20</f>
        <v>0</v>
      </c>
      <c r="K20" s="16" t="e">
        <f>E20/(J20)</f>
        <v>#DIV/0!</v>
      </c>
      <c r="L20" s="3"/>
      <c r="M20" s="26">
        <v>0</v>
      </c>
      <c r="N20" s="27">
        <f>M20/C20</f>
        <v>0</v>
      </c>
      <c r="O20" s="35">
        <f>J20+'6-3-22'!O20</f>
        <v>108</v>
      </c>
      <c r="P20" s="26">
        <f>M20/O20</f>
        <v>0</v>
      </c>
    </row>
    <row r="21" spans="1:16" ht="15.6" x14ac:dyDescent="0.3">
      <c r="A21" s="3"/>
      <c r="B21" s="3"/>
      <c r="C21" s="3"/>
      <c r="D21" s="3"/>
      <c r="E21" s="3"/>
      <c r="F21" s="3"/>
      <c r="G21" s="40"/>
      <c r="H21" s="3"/>
      <c r="I21" s="28"/>
      <c r="J21" s="40"/>
      <c r="K21" s="28"/>
      <c r="L21" s="3"/>
      <c r="M21" s="29"/>
      <c r="N21" s="3"/>
      <c r="O21" s="3"/>
      <c r="P21" s="3"/>
    </row>
    <row r="22" spans="1:16" ht="15.6" x14ac:dyDescent="0.3">
      <c r="A22" s="3"/>
      <c r="B22" s="8" t="s">
        <v>53</v>
      </c>
      <c r="C22" s="8">
        <v>125400</v>
      </c>
      <c r="D22" s="41"/>
      <c r="E22" s="41"/>
      <c r="F22" s="8"/>
      <c r="G22" s="35"/>
      <c r="H22" s="8"/>
      <c r="I22" s="16"/>
      <c r="J22" s="35">
        <f>F22*G22+H22*I22</f>
        <v>0</v>
      </c>
      <c r="K22" s="16" t="e">
        <f>E22/(J22)</f>
        <v>#DIV/0!</v>
      </c>
      <c r="L22" s="3"/>
      <c r="M22" s="26">
        <f>E22+'6-3-22'!M22</f>
        <v>125400</v>
      </c>
      <c r="N22" s="27">
        <f>M22/C22</f>
        <v>1</v>
      </c>
      <c r="O22" s="35">
        <f>J22+'6-3-22'!O22</f>
        <v>679.75</v>
      </c>
      <c r="P22" s="26">
        <f>M22/O22</f>
        <v>184.47958808385437</v>
      </c>
    </row>
    <row r="23" spans="1:16" ht="15.6" x14ac:dyDescent="0.3">
      <c r="A23" s="3"/>
      <c r="B23" s="3"/>
      <c r="C23" s="3"/>
      <c r="D23" s="3"/>
      <c r="E23" s="3"/>
      <c r="F23" s="3"/>
      <c r="G23" s="40"/>
      <c r="H23" s="3"/>
      <c r="I23" s="28"/>
      <c r="J23" s="40"/>
      <c r="K23" s="28"/>
      <c r="L23" s="3"/>
      <c r="M23" s="29"/>
      <c r="N23" s="3"/>
      <c r="O23" s="36"/>
      <c r="P23" s="29"/>
    </row>
    <row r="24" spans="1:16" ht="15.6" x14ac:dyDescent="0.3">
      <c r="A24" s="3"/>
      <c r="B24" s="8" t="s">
        <v>54</v>
      </c>
      <c r="C24" s="8">
        <v>125400</v>
      </c>
      <c r="D24" s="8"/>
      <c r="E24" s="8">
        <v>125400</v>
      </c>
      <c r="F24" s="8">
        <v>9</v>
      </c>
      <c r="G24" s="35">
        <v>9.25</v>
      </c>
      <c r="H24" s="8"/>
      <c r="I24" s="16"/>
      <c r="J24" s="35">
        <f>F24*G24+H24*I24</f>
        <v>83.25</v>
      </c>
      <c r="K24" s="16">
        <f>E24/(J24)</f>
        <v>1506.3063063063064</v>
      </c>
      <c r="L24" s="3"/>
      <c r="M24" s="26">
        <f>E24+'6-3-22'!M24</f>
        <v>125400</v>
      </c>
      <c r="N24" s="27">
        <f>M24/C24</f>
        <v>1</v>
      </c>
      <c r="O24" s="35">
        <f>J24+'6-3-22'!O24</f>
        <v>377.75</v>
      </c>
      <c r="P24" s="26">
        <f>M24/O24</f>
        <v>331.96558570483126</v>
      </c>
    </row>
    <row r="25" spans="1:16" ht="15.6" x14ac:dyDescent="0.3">
      <c r="A25" s="3"/>
      <c r="B25" s="3"/>
      <c r="C25" s="3"/>
      <c r="D25" s="3"/>
      <c r="E25" s="3"/>
      <c r="F25" s="3"/>
      <c r="G25" s="36"/>
      <c r="H25" s="3"/>
      <c r="I25" s="4"/>
      <c r="J25" s="36"/>
      <c r="K25" s="4"/>
      <c r="L25" s="3"/>
      <c r="M25" s="29"/>
      <c r="N25" s="3"/>
      <c r="O25" s="3"/>
      <c r="P25" s="3"/>
    </row>
    <row r="26" spans="1:16" ht="15.6" x14ac:dyDescent="0.3">
      <c r="A26" s="3"/>
      <c r="B26" s="8" t="s">
        <v>44</v>
      </c>
      <c r="C26" s="8">
        <v>3040</v>
      </c>
      <c r="D26" s="8"/>
      <c r="E26" s="8"/>
      <c r="F26" s="8"/>
      <c r="G26" s="35"/>
      <c r="H26" s="8"/>
      <c r="I26" s="16"/>
      <c r="J26" s="35">
        <f>F26*G26+H26*I26</f>
        <v>0</v>
      </c>
      <c r="K26" s="16" t="e">
        <f>E26/(J26)</f>
        <v>#DIV/0!</v>
      </c>
      <c r="L26" s="3"/>
      <c r="M26" s="26">
        <f>E26+'6-3-22'!M26</f>
        <v>0</v>
      </c>
      <c r="N26" s="27">
        <f>M26/C26</f>
        <v>0</v>
      </c>
      <c r="O26" s="35">
        <f>J26+'6-3-22'!O26</f>
        <v>27</v>
      </c>
      <c r="P26" s="26">
        <f>M26/O26</f>
        <v>0</v>
      </c>
    </row>
    <row r="27" spans="1:16" ht="15.6" x14ac:dyDescent="0.3">
      <c r="A27" s="3"/>
      <c r="B27" s="3"/>
      <c r="C27" s="3"/>
      <c r="D27" s="3"/>
      <c r="E27" s="3"/>
      <c r="F27" s="3"/>
      <c r="G27" s="36"/>
      <c r="H27" s="3"/>
      <c r="I27" s="4"/>
      <c r="J27" s="36"/>
      <c r="K27" s="4"/>
      <c r="L27" s="3"/>
      <c r="M27" s="29"/>
      <c r="N27" s="3"/>
      <c r="O27" s="3"/>
      <c r="P27" s="3"/>
    </row>
    <row r="28" spans="1:16" ht="15.6" x14ac:dyDescent="0.3">
      <c r="A28" s="3"/>
      <c r="B28" s="8" t="s">
        <v>45</v>
      </c>
      <c r="C28" s="8">
        <v>3040</v>
      </c>
      <c r="D28" s="8"/>
      <c r="E28" s="8"/>
      <c r="F28" s="8"/>
      <c r="G28" s="35"/>
      <c r="H28" s="8"/>
      <c r="I28" s="16"/>
      <c r="J28" s="35">
        <f>F28*G28+H28*I28</f>
        <v>0</v>
      </c>
      <c r="K28" s="16" t="e">
        <f>E28/(J28)</f>
        <v>#DIV/0!</v>
      </c>
      <c r="L28" s="3"/>
      <c r="M28" s="26">
        <f>E28+'6-3-22'!M28</f>
        <v>0</v>
      </c>
      <c r="N28" s="27">
        <f>M28/C28</f>
        <v>0</v>
      </c>
      <c r="O28" s="35">
        <f>J28+'6-3-22'!O28</f>
        <v>0</v>
      </c>
      <c r="P28" s="26" t="e">
        <f>M28/O28</f>
        <v>#DIV/0!</v>
      </c>
    </row>
    <row r="29" spans="1:16" ht="15.6" x14ac:dyDescent="0.3">
      <c r="A29" s="3"/>
      <c r="B29" s="3"/>
      <c r="C29" s="3"/>
      <c r="D29" s="3"/>
      <c r="E29" s="3"/>
      <c r="F29" s="3"/>
      <c r="G29" s="36"/>
      <c r="H29" s="3"/>
      <c r="I29" s="4"/>
      <c r="J29" s="36"/>
      <c r="K29" s="4"/>
      <c r="L29" s="3"/>
      <c r="M29" s="29"/>
      <c r="N29" s="3"/>
      <c r="O29" s="3"/>
      <c r="P29" s="3"/>
    </row>
    <row r="30" spans="1:16" ht="15.6" x14ac:dyDescent="0.3">
      <c r="A30" s="3"/>
      <c r="B30" s="8" t="s">
        <v>47</v>
      </c>
      <c r="C30" s="8">
        <v>125400</v>
      </c>
      <c r="D30" s="8"/>
      <c r="E30" s="8"/>
      <c r="F30" s="8"/>
      <c r="G30" s="35"/>
      <c r="H30" s="8"/>
      <c r="I30" s="16"/>
      <c r="J30" s="35">
        <f>F30*G30+H30*I30</f>
        <v>0</v>
      </c>
      <c r="K30" s="16" t="e">
        <f>E30/(J30)</f>
        <v>#DIV/0!</v>
      </c>
      <c r="L30" s="3"/>
      <c r="M30" s="26">
        <f>E30+'6-3-22'!M30</f>
        <v>0</v>
      </c>
      <c r="N30" s="27">
        <f>M30/C30</f>
        <v>0</v>
      </c>
      <c r="O30" s="35">
        <f>J30+'6-3-22'!O30</f>
        <v>49.5</v>
      </c>
      <c r="P30" s="26">
        <f>M30/O30</f>
        <v>0</v>
      </c>
    </row>
    <row r="31" spans="1:16" ht="15.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7"/>
      <c r="O31" s="3"/>
      <c r="P31" s="3"/>
    </row>
    <row r="32" spans="1:16" ht="15.6" x14ac:dyDescent="0.3">
      <c r="A32" s="3"/>
      <c r="B32" s="8" t="s">
        <v>46</v>
      </c>
      <c r="C32" s="8">
        <v>324</v>
      </c>
      <c r="D32" s="8"/>
      <c r="E32" s="8"/>
      <c r="F32" s="8"/>
      <c r="G32" s="35"/>
      <c r="H32" s="8"/>
      <c r="I32" s="16"/>
      <c r="J32" s="35">
        <f>F32*G32+H32*I32</f>
        <v>0</v>
      </c>
      <c r="K32" s="16" t="e">
        <f>E32/(J32)</f>
        <v>#DIV/0!</v>
      </c>
      <c r="L32" s="3"/>
      <c r="M32" s="26">
        <f>E32+'6-3-22'!M32</f>
        <v>0</v>
      </c>
      <c r="N32" s="27">
        <f>M32/C32</f>
        <v>0</v>
      </c>
      <c r="O32" s="35">
        <f>J32+'6-3-22'!O32</f>
        <v>0</v>
      </c>
      <c r="P32" s="26" t="e">
        <f>M32/O32</f>
        <v>#DIV/0!</v>
      </c>
    </row>
    <row r="33" spans="1:16" ht="15.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7"/>
      <c r="O33" s="3"/>
      <c r="P33" s="3"/>
    </row>
    <row r="34" spans="1:16" ht="15.6" x14ac:dyDescent="0.3">
      <c r="A34" s="3"/>
      <c r="B34" s="8" t="s">
        <v>48</v>
      </c>
      <c r="C34" s="8">
        <v>115000</v>
      </c>
      <c r="D34" s="8"/>
      <c r="E34" s="8"/>
      <c r="F34" s="8"/>
      <c r="G34" s="35"/>
      <c r="H34" s="8"/>
      <c r="I34" s="16"/>
      <c r="J34" s="35">
        <f>F34*G34+H34*I34</f>
        <v>0</v>
      </c>
      <c r="K34" s="16" t="e">
        <f>E34/(J34)</f>
        <v>#DIV/0!</v>
      </c>
      <c r="L34" s="3"/>
      <c r="M34" s="26">
        <f>E34+'6-3-22'!M34</f>
        <v>0</v>
      </c>
      <c r="N34" s="27">
        <f>M34/C34</f>
        <v>0</v>
      </c>
      <c r="O34" s="35">
        <f>J34+'6-3-22'!O34</f>
        <v>0</v>
      </c>
      <c r="P34" s="26" t="e">
        <f>M34/O34</f>
        <v>#DIV/0!</v>
      </c>
    </row>
    <row r="35" spans="1:16" ht="15.6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27"/>
      <c r="O35" s="3"/>
      <c r="P35" s="3"/>
    </row>
    <row r="36" spans="1:16" ht="15.6" x14ac:dyDescent="0.3">
      <c r="A36" s="3"/>
      <c r="B36" s="8" t="s">
        <v>49</v>
      </c>
      <c r="C36" s="8">
        <v>8</v>
      </c>
      <c r="D36" s="8"/>
      <c r="E36" s="8"/>
      <c r="F36" s="8"/>
      <c r="G36" s="35"/>
      <c r="H36" s="8"/>
      <c r="I36" s="16"/>
      <c r="J36" s="35">
        <f>F36*G36+H36*I36</f>
        <v>0</v>
      </c>
      <c r="K36" s="16" t="e">
        <f>E36/(J36)</f>
        <v>#DIV/0!</v>
      </c>
      <c r="L36" s="3"/>
      <c r="M36" s="26">
        <f>E36+'6-3-22'!M36</f>
        <v>0</v>
      </c>
      <c r="N36" s="27">
        <f>M36/C36</f>
        <v>0</v>
      </c>
      <c r="O36" s="35">
        <f>J36+'6-3-22'!O36</f>
        <v>24</v>
      </c>
      <c r="P36" s="26">
        <f>M36/O36</f>
        <v>0</v>
      </c>
    </row>
    <row r="37" spans="1:16" ht="15.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27"/>
      <c r="O37" s="3"/>
      <c r="P37" s="3"/>
    </row>
    <row r="38" spans="1:16" ht="15.6" x14ac:dyDescent="0.3">
      <c r="A38" s="3"/>
      <c r="B38" s="8" t="s">
        <v>50</v>
      </c>
      <c r="C38" s="8">
        <f>2760+480</f>
        <v>3240</v>
      </c>
      <c r="D38" s="8"/>
      <c r="E38" s="8"/>
      <c r="F38" s="8"/>
      <c r="G38" s="35"/>
      <c r="H38" s="8"/>
      <c r="I38" s="16"/>
      <c r="J38" s="35">
        <f>F38*G38+H38*I38</f>
        <v>0</v>
      </c>
      <c r="K38" s="16" t="e">
        <f>E38/(J38)</f>
        <v>#DIV/0!</v>
      </c>
      <c r="L38" s="3"/>
      <c r="M38" s="26">
        <f>E38+'6-3-22'!M38</f>
        <v>555</v>
      </c>
      <c r="N38" s="27">
        <f>M38/C38</f>
        <v>0.17129629629629631</v>
      </c>
      <c r="O38" s="35">
        <f>J38+'6-3-22'!O38</f>
        <v>25.5</v>
      </c>
      <c r="P38" s="26">
        <f>M38/O38</f>
        <v>21.764705882352942</v>
      </c>
    </row>
    <row r="39" spans="1:16" ht="15.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7"/>
      <c r="O39" s="3"/>
      <c r="P39" s="3"/>
    </row>
    <row r="40" spans="1:16" ht="15.6" x14ac:dyDescent="0.3">
      <c r="A40" s="3"/>
      <c r="B40" s="8" t="s">
        <v>51</v>
      </c>
      <c r="C40" s="8">
        <v>25</v>
      </c>
      <c r="D40" s="8"/>
      <c r="E40" s="8"/>
      <c r="F40" s="8"/>
      <c r="G40" s="35"/>
      <c r="H40" s="8"/>
      <c r="I40" s="16"/>
      <c r="J40" s="35">
        <f>F40*G40+H40*I40</f>
        <v>0</v>
      </c>
      <c r="K40" s="16" t="e">
        <f>E40/(J40)</f>
        <v>#DIV/0!</v>
      </c>
      <c r="L40" s="3"/>
      <c r="M40" s="26">
        <f>E40+'6-3-22'!M40</f>
        <v>0</v>
      </c>
      <c r="N40" s="27">
        <f>M40/C40</f>
        <v>0</v>
      </c>
      <c r="O40" s="35">
        <f>J40+'6-3-22'!O40</f>
        <v>0</v>
      </c>
      <c r="P40" s="26" t="e">
        <f>M40/O40</f>
        <v>#DIV/0!</v>
      </c>
    </row>
    <row r="41" spans="1:16" ht="15.6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27"/>
      <c r="O41" s="3"/>
      <c r="P41" s="3"/>
    </row>
    <row r="42" spans="1:16" ht="15.6" x14ac:dyDescent="0.3">
      <c r="A42" s="3"/>
      <c r="B42" s="8" t="s">
        <v>113</v>
      </c>
      <c r="C42" s="8" t="s">
        <v>52</v>
      </c>
      <c r="D42" s="8"/>
      <c r="E42" s="8"/>
      <c r="F42" s="8"/>
      <c r="G42" s="35"/>
      <c r="H42" s="8"/>
      <c r="I42" s="16"/>
      <c r="J42" s="35">
        <f>F42*G42+H42*I42</f>
        <v>0</v>
      </c>
      <c r="K42" s="16" t="e">
        <f>E42/(J42)</f>
        <v>#DIV/0!</v>
      </c>
      <c r="L42" s="3"/>
      <c r="M42" s="26">
        <f>E42+'6-3-22'!M42</f>
        <v>0</v>
      </c>
      <c r="N42" s="53" t="e">
        <f>M42/C42</f>
        <v>#VALUE!</v>
      </c>
      <c r="O42" s="35">
        <f>J42+'6-3-22'!O42</f>
        <v>0</v>
      </c>
      <c r="P42" s="26" t="e">
        <f>M42/O42</f>
        <v>#DIV/0!</v>
      </c>
    </row>
    <row r="43" spans="1:16" ht="15.6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27"/>
      <c r="O43" s="3"/>
      <c r="P43" s="3"/>
    </row>
    <row r="44" spans="1:16" ht="15.6" x14ac:dyDescent="0.3">
      <c r="A44" s="3"/>
      <c r="B44" s="8" t="s">
        <v>114</v>
      </c>
      <c r="C44" s="8" t="s">
        <v>52</v>
      </c>
      <c r="D44" s="8"/>
      <c r="E44" s="8"/>
      <c r="F44" s="8"/>
      <c r="G44" s="35"/>
      <c r="H44" s="8"/>
      <c r="I44" s="16"/>
      <c r="J44" s="35">
        <f>F44*G44+H44*I44</f>
        <v>0</v>
      </c>
      <c r="K44" s="16" t="e">
        <f>E44/(J44)</f>
        <v>#DIV/0!</v>
      </c>
      <c r="L44" s="3"/>
      <c r="M44" s="26">
        <f>E44+'6-3-22'!M44</f>
        <v>0</v>
      </c>
      <c r="N44" s="53" t="e">
        <f>M44/C44</f>
        <v>#VALUE!</v>
      </c>
      <c r="O44" s="35">
        <f>J44+'6-3-22'!O44</f>
        <v>0</v>
      </c>
      <c r="P44" s="26" t="e">
        <f>M44/O44</f>
        <v>#DIV/0!</v>
      </c>
    </row>
    <row r="45" spans="1:16" ht="15.6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27"/>
      <c r="O45" s="3"/>
      <c r="P45" s="3"/>
    </row>
    <row r="46" spans="1:16" ht="15.6" x14ac:dyDescent="0.3">
      <c r="A46" s="3"/>
      <c r="B46" s="8" t="s">
        <v>75</v>
      </c>
      <c r="C46" s="8"/>
      <c r="D46" s="8"/>
      <c r="E46" s="8"/>
      <c r="F46" s="8"/>
      <c r="G46" s="35"/>
      <c r="H46" s="8"/>
      <c r="I46" s="16"/>
      <c r="J46" s="35">
        <f>F46*G46+H46*I46</f>
        <v>0</v>
      </c>
      <c r="K46" s="16" t="e">
        <f>E46/(J46)</f>
        <v>#DIV/0!</v>
      </c>
      <c r="L46" s="3"/>
      <c r="M46" s="26">
        <f>E46+'6-3-22'!M46</f>
        <v>0</v>
      </c>
      <c r="N46" s="53" t="e">
        <f>M46/C46</f>
        <v>#DIV/0!</v>
      </c>
      <c r="O46" s="35">
        <f>J46+'6-3-22'!O46</f>
        <v>207.75</v>
      </c>
      <c r="P46" s="26">
        <f>M46/O46</f>
        <v>0</v>
      </c>
    </row>
    <row r="47" spans="1:16" ht="15.6" x14ac:dyDescent="0.3">
      <c r="A47" s="3"/>
      <c r="B47" s="3" t="s">
        <v>27</v>
      </c>
      <c r="C47" s="3"/>
      <c r="D47" s="3"/>
      <c r="E47" s="3"/>
      <c r="F47" s="3"/>
      <c r="G47" s="3"/>
      <c r="H47" s="30"/>
      <c r="I47" s="4"/>
      <c r="J47" s="3">
        <f>J20+J22+J24+J26+J28+J30+J32+J34+J36+J38+J40+J42+J44+J46</f>
        <v>83.25</v>
      </c>
      <c r="K47" s="3"/>
      <c r="L47" s="3"/>
      <c r="M47" s="3"/>
      <c r="N47" s="3"/>
      <c r="O47" s="3">
        <f>O20+O22+O24+O26+O28+O30+O32+O34+O36+O38+O40+O42+O44+O46</f>
        <v>1499.25</v>
      </c>
      <c r="P47" s="3"/>
    </row>
    <row r="48" spans="1:16" ht="15.6" x14ac:dyDescent="0.3">
      <c r="A48" s="3"/>
      <c r="B48" s="3"/>
      <c r="C48" s="3"/>
      <c r="D48" s="3"/>
      <c r="E48" s="3"/>
      <c r="F48" s="3"/>
      <c r="G48" s="3"/>
      <c r="H48" s="3"/>
      <c r="I48" s="4"/>
      <c r="J48" s="3"/>
      <c r="K48" s="3"/>
      <c r="L48" s="3"/>
      <c r="M48" s="3"/>
      <c r="N48" s="3"/>
      <c r="O48" s="3"/>
      <c r="P48" s="3"/>
    </row>
    <row r="49" spans="1:16" ht="15.6" x14ac:dyDescent="0.3">
      <c r="A49" s="3"/>
      <c r="B49" s="3" t="s">
        <v>28</v>
      </c>
      <c r="C49" s="3" t="s">
        <v>124</v>
      </c>
      <c r="D49" s="3"/>
      <c r="E49" s="3"/>
      <c r="F49" s="3"/>
      <c r="G49" s="3"/>
      <c r="H49" s="3"/>
      <c r="I49" s="4"/>
      <c r="J49" s="3"/>
      <c r="K49" s="3"/>
      <c r="L49" s="3"/>
      <c r="M49" s="3"/>
      <c r="N49" s="3"/>
      <c r="O49" s="3"/>
      <c r="P49" s="3"/>
    </row>
    <row r="50" spans="1:16" ht="15.6" x14ac:dyDescent="0.3">
      <c r="C50" s="33"/>
    </row>
    <row r="51" spans="1:16" ht="15.6" x14ac:dyDescent="0.3">
      <c r="B51" s="3" t="s">
        <v>32</v>
      </c>
      <c r="C51" s="33" t="s">
        <v>122</v>
      </c>
    </row>
    <row r="52" spans="1:16" ht="15.6" x14ac:dyDescent="0.3">
      <c r="C52" s="33"/>
    </row>
    <row r="53" spans="1:16" ht="15.6" x14ac:dyDescent="0.3">
      <c r="B53" s="3" t="s">
        <v>33</v>
      </c>
      <c r="C53" s="3" t="s">
        <v>123</v>
      </c>
    </row>
  </sheetData>
  <mergeCells count="2">
    <mergeCell ref="A1:G1"/>
    <mergeCell ref="H7:I7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F765B-39EF-4209-B680-498B321686AF}">
  <dimension ref="A1:P54"/>
  <sheetViews>
    <sheetView topLeftCell="A22" zoomScale="85" zoomScaleNormal="85" workbookViewId="0">
      <selection activeCell="O48" sqref="O48"/>
    </sheetView>
  </sheetViews>
  <sheetFormatPr defaultRowHeight="14.4" x14ac:dyDescent="0.3"/>
  <cols>
    <col min="1" max="1" width="11.33203125" customWidth="1"/>
    <col min="2" max="2" width="29.33203125" customWidth="1"/>
    <col min="3" max="3" width="22.109375" customWidth="1"/>
    <col min="4" max="4" width="14.88671875" customWidth="1"/>
    <col min="5" max="5" width="16.6640625" customWidth="1"/>
    <col min="6" max="6" width="17.44140625" customWidth="1"/>
    <col min="8" max="8" width="20.44140625" customWidth="1"/>
    <col min="13" max="13" width="10.6640625" customWidth="1"/>
    <col min="14" max="14" width="10" bestFit="1" customWidth="1"/>
    <col min="15" max="15" width="10.6640625" customWidth="1"/>
  </cols>
  <sheetData>
    <row r="1" spans="1:16" ht="18" x14ac:dyDescent="0.35">
      <c r="A1" s="66" t="s">
        <v>0</v>
      </c>
      <c r="B1" s="66"/>
      <c r="C1" s="66"/>
      <c r="D1" s="66"/>
      <c r="E1" s="66"/>
      <c r="F1" s="66"/>
      <c r="G1" s="66"/>
      <c r="H1" s="1"/>
      <c r="I1" s="2"/>
      <c r="J1" s="1"/>
      <c r="K1" s="1"/>
      <c r="L1" s="1"/>
      <c r="M1" s="1"/>
      <c r="N1" s="1"/>
      <c r="O1" s="1"/>
      <c r="P1" s="1"/>
    </row>
    <row r="2" spans="1:16" ht="15.6" x14ac:dyDescent="0.3">
      <c r="A2" s="3"/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</row>
    <row r="3" spans="1:16" ht="15.6" x14ac:dyDescent="0.3">
      <c r="A3" s="3"/>
      <c r="B3" s="5" t="s">
        <v>1</v>
      </c>
      <c r="C3" s="6" t="s">
        <v>43</v>
      </c>
      <c r="D3" s="7"/>
      <c r="E3" s="3"/>
      <c r="F3" s="5" t="s">
        <v>2</v>
      </c>
      <c r="G3" s="8">
        <v>4355</v>
      </c>
      <c r="H3" s="5" t="s">
        <v>41</v>
      </c>
      <c r="I3" s="36">
        <v>49</v>
      </c>
      <c r="J3" s="3"/>
      <c r="K3" s="3"/>
      <c r="L3" s="3"/>
      <c r="M3" s="3"/>
      <c r="N3" s="3"/>
      <c r="O3" s="3"/>
      <c r="P3" s="3"/>
    </row>
    <row r="4" spans="1:16" ht="15.6" x14ac:dyDescent="0.3">
      <c r="A4" s="3"/>
      <c r="B4" s="5" t="s">
        <v>3</v>
      </c>
      <c r="C4" s="37">
        <v>300155</v>
      </c>
      <c r="D4" s="7"/>
      <c r="E4" s="3"/>
      <c r="F4" s="5" t="s">
        <v>4</v>
      </c>
      <c r="G4" s="8">
        <f>J16+'6-2-22'!G4</f>
        <v>1416</v>
      </c>
      <c r="H4" s="34" t="s">
        <v>42</v>
      </c>
      <c r="I4" s="4">
        <v>19</v>
      </c>
      <c r="J4" s="3"/>
      <c r="K4" s="3"/>
      <c r="L4" s="3"/>
      <c r="M4" s="3"/>
      <c r="N4" s="3"/>
      <c r="O4" s="3"/>
      <c r="P4" s="3"/>
    </row>
    <row r="5" spans="1:16" ht="15.6" x14ac:dyDescent="0.3">
      <c r="A5" s="3"/>
      <c r="B5" s="5" t="s">
        <v>5</v>
      </c>
      <c r="C5" s="38">
        <v>44715</v>
      </c>
      <c r="D5" s="3"/>
      <c r="E5" s="3"/>
      <c r="F5" s="3"/>
      <c r="G5" s="3"/>
      <c r="H5" s="3"/>
      <c r="I5" s="4"/>
      <c r="J5" s="3"/>
      <c r="K5" s="3"/>
      <c r="L5" s="3"/>
      <c r="M5" s="3"/>
      <c r="N5" s="3"/>
      <c r="O5" s="3"/>
      <c r="P5" s="3"/>
    </row>
    <row r="6" spans="1:16" ht="15.6" x14ac:dyDescent="0.3">
      <c r="A6" s="3"/>
      <c r="B6" s="5"/>
      <c r="C6" s="3"/>
      <c r="D6" s="3"/>
      <c r="E6" s="3"/>
      <c r="F6" s="3"/>
      <c r="G6" s="3"/>
      <c r="H6" s="3"/>
      <c r="I6" s="4"/>
      <c r="J6" s="3"/>
      <c r="K6" s="3"/>
      <c r="L6" s="3"/>
      <c r="M6" s="3"/>
      <c r="N6" s="3"/>
      <c r="O6" s="3"/>
      <c r="P6" s="3"/>
    </row>
    <row r="7" spans="1:16" ht="15.6" x14ac:dyDescent="0.3">
      <c r="A7" s="10" t="s">
        <v>6</v>
      </c>
      <c r="B7" s="11"/>
      <c r="C7" s="12" t="s">
        <v>7</v>
      </c>
      <c r="D7" s="3"/>
      <c r="E7" s="12" t="s">
        <v>8</v>
      </c>
      <c r="F7" s="12" t="s">
        <v>34</v>
      </c>
      <c r="G7" s="3"/>
      <c r="H7" s="67" t="s">
        <v>7</v>
      </c>
      <c r="I7" s="67"/>
      <c r="J7" s="12" t="s">
        <v>8</v>
      </c>
      <c r="K7" s="3"/>
      <c r="L7" s="3"/>
      <c r="M7" s="3"/>
      <c r="N7" s="3"/>
      <c r="O7" s="3"/>
      <c r="P7" s="3"/>
    </row>
    <row r="8" spans="1:16" ht="15.6" x14ac:dyDescent="0.3">
      <c r="A8" s="13">
        <v>1</v>
      </c>
      <c r="B8" s="5" t="s">
        <v>9</v>
      </c>
      <c r="C8" s="14" t="s">
        <v>35</v>
      </c>
      <c r="D8" s="15"/>
      <c r="E8" s="35">
        <v>9.5</v>
      </c>
      <c r="F8" s="16">
        <v>66</v>
      </c>
      <c r="G8" s="11">
        <v>9</v>
      </c>
      <c r="H8" s="14" t="s">
        <v>40</v>
      </c>
      <c r="I8" s="8"/>
      <c r="J8" s="39">
        <v>9.5</v>
      </c>
      <c r="K8" s="3"/>
      <c r="L8" s="3"/>
      <c r="M8" s="3"/>
      <c r="N8" s="3"/>
      <c r="O8" s="3"/>
      <c r="P8" s="3"/>
    </row>
    <row r="9" spans="1:16" ht="15.6" x14ac:dyDescent="0.3">
      <c r="A9" s="13">
        <v>2</v>
      </c>
      <c r="B9" s="5" t="s">
        <v>10</v>
      </c>
      <c r="C9" s="14" t="s">
        <v>37</v>
      </c>
      <c r="D9" s="8"/>
      <c r="E9" s="35">
        <v>9.5</v>
      </c>
      <c r="F9" s="16"/>
      <c r="G9" s="11">
        <v>10</v>
      </c>
      <c r="H9" s="14"/>
      <c r="I9" s="8"/>
      <c r="J9" s="39"/>
      <c r="K9" s="3"/>
      <c r="L9" s="3"/>
      <c r="M9" s="3"/>
      <c r="N9" s="3"/>
      <c r="O9" s="3"/>
      <c r="P9" s="3"/>
    </row>
    <row r="10" spans="1:16" ht="15.6" x14ac:dyDescent="0.3">
      <c r="A10" s="13">
        <v>3</v>
      </c>
      <c r="B10" s="5" t="s">
        <v>11</v>
      </c>
      <c r="C10" s="14" t="s">
        <v>36</v>
      </c>
      <c r="D10" s="8"/>
      <c r="E10" s="35">
        <v>9.5</v>
      </c>
      <c r="F10" s="16">
        <v>78</v>
      </c>
      <c r="G10" s="11">
        <v>11</v>
      </c>
      <c r="H10" s="3"/>
      <c r="I10" s="8"/>
      <c r="J10" s="39"/>
      <c r="K10" s="3"/>
      <c r="L10" s="3"/>
      <c r="M10" s="3"/>
      <c r="N10" s="3"/>
      <c r="O10" s="3"/>
      <c r="P10" s="3"/>
    </row>
    <row r="11" spans="1:16" ht="15.6" x14ac:dyDescent="0.3">
      <c r="A11" s="13">
        <v>4</v>
      </c>
      <c r="B11" s="5" t="s">
        <v>12</v>
      </c>
      <c r="C11" s="14" t="s">
        <v>29</v>
      </c>
      <c r="D11" s="8"/>
      <c r="E11" s="35">
        <v>9.5</v>
      </c>
      <c r="F11" s="16"/>
      <c r="G11" s="11">
        <v>12</v>
      </c>
      <c r="H11" s="3"/>
      <c r="I11" s="8"/>
      <c r="J11" s="39"/>
      <c r="K11" s="3"/>
      <c r="L11" s="3"/>
      <c r="M11" s="3"/>
      <c r="N11" s="3"/>
      <c r="O11" s="3"/>
      <c r="P11" s="3"/>
    </row>
    <row r="12" spans="1:16" ht="15.6" x14ac:dyDescent="0.3">
      <c r="A12" s="13">
        <v>5</v>
      </c>
      <c r="B12" s="3"/>
      <c r="C12" s="31" t="s">
        <v>30</v>
      </c>
      <c r="D12" s="8"/>
      <c r="E12" s="35">
        <v>9.5</v>
      </c>
      <c r="F12" s="16"/>
      <c r="G12" s="11">
        <v>13</v>
      </c>
      <c r="H12" s="3"/>
      <c r="I12" s="8"/>
      <c r="J12" s="39"/>
      <c r="K12" s="3"/>
      <c r="L12" s="3"/>
      <c r="M12" s="3"/>
      <c r="N12" s="3"/>
      <c r="O12" s="3"/>
      <c r="P12" s="3"/>
    </row>
    <row r="13" spans="1:16" ht="15.6" x14ac:dyDescent="0.3">
      <c r="A13" s="13">
        <v>6</v>
      </c>
      <c r="B13" s="3"/>
      <c r="C13" s="14" t="s">
        <v>31</v>
      </c>
      <c r="D13" s="8"/>
      <c r="E13" s="35">
        <v>9.5</v>
      </c>
      <c r="F13" s="16">
        <v>74</v>
      </c>
      <c r="G13" s="11">
        <v>14</v>
      </c>
      <c r="H13" s="18"/>
      <c r="I13" s="8"/>
      <c r="J13" s="39"/>
      <c r="K13" s="3"/>
      <c r="L13" s="3"/>
      <c r="M13" s="3"/>
      <c r="N13" s="3"/>
      <c r="O13" s="3"/>
      <c r="P13" s="3"/>
    </row>
    <row r="14" spans="1:16" ht="15.6" x14ac:dyDescent="0.3">
      <c r="A14" s="13">
        <v>7</v>
      </c>
      <c r="B14" s="5" t="s">
        <v>52</v>
      </c>
      <c r="C14" s="14" t="s">
        <v>39</v>
      </c>
      <c r="D14" s="8"/>
      <c r="E14" s="35">
        <v>9.5</v>
      </c>
      <c r="F14" s="16"/>
      <c r="G14" s="11">
        <v>15</v>
      </c>
      <c r="H14" s="3"/>
      <c r="I14" s="8"/>
      <c r="J14" s="39"/>
      <c r="K14" s="3"/>
      <c r="L14" s="3"/>
      <c r="M14" s="3"/>
      <c r="N14" s="3"/>
      <c r="O14" s="3"/>
      <c r="P14" s="3"/>
    </row>
    <row r="15" spans="1:16" ht="15.6" x14ac:dyDescent="0.3">
      <c r="A15" s="13">
        <v>8</v>
      </c>
      <c r="B15" s="3"/>
      <c r="C15" s="14" t="s">
        <v>38</v>
      </c>
      <c r="D15" s="8"/>
      <c r="E15" s="35">
        <v>9.5</v>
      </c>
      <c r="F15" s="16"/>
      <c r="G15" s="11">
        <v>16</v>
      </c>
      <c r="H15" s="3"/>
      <c r="I15" s="8"/>
      <c r="J15" s="39"/>
      <c r="K15" s="3"/>
      <c r="L15" s="3"/>
      <c r="M15" s="3"/>
      <c r="N15" s="3"/>
      <c r="O15" s="3"/>
      <c r="P15" s="3"/>
    </row>
    <row r="16" spans="1:16" ht="15.6" x14ac:dyDescent="0.3">
      <c r="A16" s="3"/>
      <c r="B16" s="3"/>
      <c r="C16" s="3"/>
      <c r="D16" s="3"/>
      <c r="E16" s="3"/>
      <c r="F16" s="3"/>
      <c r="G16" s="13"/>
      <c r="H16" s="7" t="s">
        <v>13</v>
      </c>
      <c r="I16" s="3"/>
      <c r="J16" s="8">
        <f>SUM(E8:E15)+SUM(J8:J15)</f>
        <v>85.5</v>
      </c>
      <c r="K16" s="3"/>
      <c r="L16" s="3"/>
      <c r="M16" s="3"/>
      <c r="N16" s="3"/>
      <c r="O16" s="3"/>
      <c r="P16" s="3"/>
    </row>
    <row r="17" spans="1:16" ht="15.6" x14ac:dyDescent="0.3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  <c r="L17" s="3"/>
      <c r="M17" s="3"/>
      <c r="N17" s="3"/>
      <c r="O17" s="3"/>
      <c r="P17" s="3"/>
    </row>
    <row r="18" spans="1:16" ht="93.6" x14ac:dyDescent="0.3">
      <c r="A18" s="19"/>
      <c r="B18" s="20" t="s">
        <v>14</v>
      </c>
      <c r="C18" s="21" t="s">
        <v>15</v>
      </c>
      <c r="D18" s="22" t="s">
        <v>16</v>
      </c>
      <c r="E18" s="22" t="s">
        <v>17</v>
      </c>
      <c r="F18" s="22" t="s">
        <v>18</v>
      </c>
      <c r="G18" s="22" t="s">
        <v>19</v>
      </c>
      <c r="H18" s="22" t="s">
        <v>18</v>
      </c>
      <c r="I18" s="22" t="s">
        <v>19</v>
      </c>
      <c r="J18" s="22" t="s">
        <v>20</v>
      </c>
      <c r="K18" s="23" t="s">
        <v>21</v>
      </c>
      <c r="L18" s="24"/>
      <c r="M18" s="23" t="s">
        <v>22</v>
      </c>
      <c r="N18" s="23" t="s">
        <v>23</v>
      </c>
      <c r="O18" s="23" t="s">
        <v>24</v>
      </c>
      <c r="P18" s="23" t="s">
        <v>25</v>
      </c>
    </row>
    <row r="19" spans="1:16" ht="15.6" x14ac:dyDescent="0.3">
      <c r="A19" s="19"/>
      <c r="B19" s="19"/>
      <c r="C19" s="24"/>
      <c r="D19" s="24"/>
      <c r="E19" s="24"/>
      <c r="F19" s="24"/>
      <c r="G19" s="24"/>
      <c r="H19" s="24"/>
      <c r="I19" s="24"/>
      <c r="J19" s="24"/>
      <c r="K19" s="25"/>
      <c r="L19" s="24"/>
      <c r="M19" s="3"/>
      <c r="N19" s="3"/>
      <c r="O19" s="3"/>
      <c r="P19" s="3"/>
    </row>
    <row r="20" spans="1:16" ht="15.6" x14ac:dyDescent="0.3">
      <c r="A20" s="3"/>
      <c r="B20" s="8" t="s">
        <v>26</v>
      </c>
      <c r="C20" s="8">
        <v>1</v>
      </c>
      <c r="D20" s="8">
        <v>1</v>
      </c>
      <c r="E20" s="8"/>
      <c r="F20" s="8"/>
      <c r="G20" s="35">
        <v>0</v>
      </c>
      <c r="H20" s="8"/>
      <c r="I20" s="16"/>
      <c r="J20" s="35">
        <f>F20*G20+H20*I20</f>
        <v>0</v>
      </c>
      <c r="K20" s="16" t="e">
        <f>E20/(J20)</f>
        <v>#DIV/0!</v>
      </c>
      <c r="L20" s="3"/>
      <c r="M20" s="26">
        <v>0</v>
      </c>
      <c r="N20" s="27">
        <f>M20/C20</f>
        <v>0</v>
      </c>
      <c r="O20" s="35">
        <f>J20+'6-2-22'!O20</f>
        <v>108</v>
      </c>
      <c r="P20" s="26">
        <f>M20/O20</f>
        <v>0</v>
      </c>
    </row>
    <row r="21" spans="1:16" ht="15.6" x14ac:dyDescent="0.3">
      <c r="A21" s="3"/>
      <c r="B21" s="3"/>
      <c r="C21" s="3"/>
      <c r="D21" s="3"/>
      <c r="E21" s="3"/>
      <c r="F21" s="3"/>
      <c r="G21" s="40"/>
      <c r="H21" s="3"/>
      <c r="I21" s="28"/>
      <c r="J21" s="40"/>
      <c r="K21" s="28"/>
      <c r="L21" s="3"/>
      <c r="M21" s="29"/>
      <c r="N21" s="3"/>
      <c r="O21" s="3"/>
      <c r="P21" s="3"/>
    </row>
    <row r="22" spans="1:16" ht="15.6" x14ac:dyDescent="0.3">
      <c r="A22" s="3"/>
      <c r="B22" s="8" t="s">
        <v>53</v>
      </c>
      <c r="C22" s="8">
        <v>125400</v>
      </c>
      <c r="D22" s="41"/>
      <c r="E22" s="41"/>
      <c r="F22" s="8">
        <v>6</v>
      </c>
      <c r="G22" s="35">
        <v>2</v>
      </c>
      <c r="H22" s="8"/>
      <c r="I22" s="16"/>
      <c r="J22" s="35">
        <f>F22*G22+H22*I22</f>
        <v>12</v>
      </c>
      <c r="K22" s="16">
        <f>E22/(J22)</f>
        <v>0</v>
      </c>
      <c r="L22" s="3"/>
      <c r="M22" s="26">
        <f>E22+'6-2-22'!M22</f>
        <v>125400</v>
      </c>
      <c r="N22" s="27">
        <f>M22/C22</f>
        <v>1</v>
      </c>
      <c r="O22" s="35">
        <f>J22+'6-2-22'!O22</f>
        <v>679.75</v>
      </c>
      <c r="P22" s="26">
        <f>M22/O22</f>
        <v>184.47958808385437</v>
      </c>
    </row>
    <row r="23" spans="1:16" ht="15.6" x14ac:dyDescent="0.3">
      <c r="A23" s="3"/>
      <c r="B23" s="3"/>
      <c r="C23" s="3"/>
      <c r="D23" s="3"/>
      <c r="E23" s="3"/>
      <c r="F23" s="3"/>
      <c r="G23" s="40"/>
      <c r="H23" s="3"/>
      <c r="I23" s="28"/>
      <c r="J23" s="40"/>
      <c r="K23" s="28"/>
      <c r="L23" s="3"/>
      <c r="M23" s="29"/>
      <c r="N23" s="3"/>
      <c r="O23" s="36"/>
      <c r="P23" s="29"/>
    </row>
    <row r="24" spans="1:16" ht="15.6" x14ac:dyDescent="0.3">
      <c r="A24" s="3"/>
      <c r="B24" s="8" t="s">
        <v>54</v>
      </c>
      <c r="C24" s="8">
        <v>125400</v>
      </c>
      <c r="D24" s="8"/>
      <c r="E24" s="8"/>
      <c r="F24" s="8"/>
      <c r="G24" s="35"/>
      <c r="H24" s="8"/>
      <c r="I24" s="16"/>
      <c r="J24" s="35">
        <f>F24*G24+H24*I24</f>
        <v>0</v>
      </c>
      <c r="K24" s="16" t="e">
        <f>E24/(J24)</f>
        <v>#DIV/0!</v>
      </c>
      <c r="L24" s="3"/>
      <c r="M24" s="26">
        <f>E24+'6-2-22'!M24</f>
        <v>0</v>
      </c>
      <c r="N24" s="27">
        <f>M24/C24</f>
        <v>0</v>
      </c>
      <c r="O24" s="35">
        <f>J24+'6-2-22'!O24</f>
        <v>294.5</v>
      </c>
      <c r="P24" s="26">
        <f>M24/O24</f>
        <v>0</v>
      </c>
    </row>
    <row r="25" spans="1:16" ht="15.6" x14ac:dyDescent="0.3">
      <c r="A25" s="3"/>
      <c r="B25" s="3"/>
      <c r="C25" s="3"/>
      <c r="D25" s="3"/>
      <c r="E25" s="3"/>
      <c r="F25" s="3"/>
      <c r="G25" s="36"/>
      <c r="H25" s="3"/>
      <c r="I25" s="4"/>
      <c r="J25" s="36"/>
      <c r="K25" s="4"/>
      <c r="L25" s="3"/>
      <c r="M25" s="29"/>
      <c r="N25" s="3"/>
      <c r="O25" s="3"/>
      <c r="P25" s="3"/>
    </row>
    <row r="26" spans="1:16" ht="15.6" x14ac:dyDescent="0.3">
      <c r="A26" s="3"/>
      <c r="B26" s="8" t="s">
        <v>44</v>
      </c>
      <c r="C26" s="8">
        <v>3040</v>
      </c>
      <c r="D26" s="8"/>
      <c r="E26" s="8"/>
      <c r="F26" s="8"/>
      <c r="G26" s="35"/>
      <c r="H26" s="8"/>
      <c r="I26" s="16"/>
      <c r="J26" s="35">
        <f>F26*G26+H26*I26</f>
        <v>0</v>
      </c>
      <c r="K26" s="16" t="e">
        <f>E26/(J26)</f>
        <v>#DIV/0!</v>
      </c>
      <c r="L26" s="3"/>
      <c r="M26" s="26">
        <f>E26+'6-2-22'!M26</f>
        <v>0</v>
      </c>
      <c r="N26" s="27">
        <f>M26/C26</f>
        <v>0</v>
      </c>
      <c r="O26" s="35">
        <f>J26+'6-2-22'!O26</f>
        <v>27</v>
      </c>
      <c r="P26" s="26">
        <f>M26/O26</f>
        <v>0</v>
      </c>
    </row>
    <row r="27" spans="1:16" ht="15.6" x14ac:dyDescent="0.3">
      <c r="A27" s="3"/>
      <c r="B27" s="3"/>
      <c r="C27" s="3"/>
      <c r="D27" s="3"/>
      <c r="E27" s="3"/>
      <c r="F27" s="3"/>
      <c r="G27" s="36"/>
      <c r="H27" s="3"/>
      <c r="I27" s="4"/>
      <c r="J27" s="36"/>
      <c r="K27" s="4"/>
      <c r="L27" s="3"/>
      <c r="M27" s="29"/>
      <c r="N27" s="3"/>
      <c r="O27" s="3"/>
      <c r="P27" s="3"/>
    </row>
    <row r="28" spans="1:16" ht="15.6" x14ac:dyDescent="0.3">
      <c r="A28" s="3"/>
      <c r="B28" s="8" t="s">
        <v>45</v>
      </c>
      <c r="C28" s="8">
        <v>3040</v>
      </c>
      <c r="D28" s="8"/>
      <c r="E28" s="8"/>
      <c r="F28" s="8"/>
      <c r="G28" s="35"/>
      <c r="H28" s="8"/>
      <c r="I28" s="16"/>
      <c r="J28" s="35">
        <f>F28*G28+H28*I28</f>
        <v>0</v>
      </c>
      <c r="K28" s="16" t="e">
        <f>E28/(J28)</f>
        <v>#DIV/0!</v>
      </c>
      <c r="L28" s="3"/>
      <c r="M28" s="26">
        <f>E28+'6-2-22'!M28</f>
        <v>0</v>
      </c>
      <c r="N28" s="27">
        <f>M28/C28</f>
        <v>0</v>
      </c>
      <c r="O28" s="35">
        <f>J28+'6-2-22'!O28</f>
        <v>0</v>
      </c>
      <c r="P28" s="26" t="e">
        <f>M28/O28</f>
        <v>#DIV/0!</v>
      </c>
    </row>
    <row r="29" spans="1:16" ht="15.6" x14ac:dyDescent="0.3">
      <c r="A29" s="3"/>
      <c r="B29" s="3"/>
      <c r="C29" s="3"/>
      <c r="D29" s="3"/>
      <c r="E29" s="3"/>
      <c r="F29" s="3"/>
      <c r="G29" s="36"/>
      <c r="H29" s="3"/>
      <c r="I29" s="4"/>
      <c r="J29" s="36"/>
      <c r="K29" s="4"/>
      <c r="L29" s="3"/>
      <c r="M29" s="29"/>
      <c r="N29" s="3"/>
      <c r="O29" s="3"/>
      <c r="P29" s="3"/>
    </row>
    <row r="30" spans="1:16" ht="15.6" x14ac:dyDescent="0.3">
      <c r="A30" s="3"/>
      <c r="B30" s="8" t="s">
        <v>47</v>
      </c>
      <c r="C30" s="8">
        <v>125400</v>
      </c>
      <c r="D30" s="8"/>
      <c r="E30" s="8"/>
      <c r="F30" s="8"/>
      <c r="G30" s="35"/>
      <c r="H30" s="8"/>
      <c r="I30" s="16"/>
      <c r="J30" s="35">
        <f>F30*G30+H30*I30</f>
        <v>0</v>
      </c>
      <c r="K30" s="16" t="e">
        <f>E30/(J30)</f>
        <v>#DIV/0!</v>
      </c>
      <c r="L30" s="3"/>
      <c r="M30" s="26">
        <f>E30+'6-2-22'!M30</f>
        <v>0</v>
      </c>
      <c r="N30" s="27">
        <f>M30/C30</f>
        <v>0</v>
      </c>
      <c r="O30" s="35">
        <f>J30+'6-2-22'!O30</f>
        <v>49.5</v>
      </c>
      <c r="P30" s="26">
        <f>M30/O30</f>
        <v>0</v>
      </c>
    </row>
    <row r="31" spans="1:16" ht="15.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7"/>
      <c r="O31" s="3"/>
      <c r="P31" s="3"/>
    </row>
    <row r="32" spans="1:16" ht="15.6" x14ac:dyDescent="0.3">
      <c r="A32" s="3"/>
      <c r="B32" s="8" t="s">
        <v>46</v>
      </c>
      <c r="C32" s="8">
        <v>324</v>
      </c>
      <c r="D32" s="8"/>
      <c r="E32" s="8"/>
      <c r="F32" s="8"/>
      <c r="G32" s="35"/>
      <c r="H32" s="8"/>
      <c r="I32" s="16"/>
      <c r="J32" s="35">
        <f>F32*G32+H32*I32</f>
        <v>0</v>
      </c>
      <c r="K32" s="16" t="e">
        <f>E32/(J32)</f>
        <v>#DIV/0!</v>
      </c>
      <c r="L32" s="3"/>
      <c r="M32" s="26">
        <f>E32+'6-2-22'!M32</f>
        <v>0</v>
      </c>
      <c r="N32" s="27">
        <f>M32/C32</f>
        <v>0</v>
      </c>
      <c r="O32" s="35">
        <f>J32+'6-2-22'!O32</f>
        <v>0</v>
      </c>
      <c r="P32" s="26" t="e">
        <f>M32/O32</f>
        <v>#DIV/0!</v>
      </c>
    </row>
    <row r="33" spans="1:16" ht="15.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7"/>
      <c r="O33" s="3"/>
      <c r="P33" s="3"/>
    </row>
    <row r="34" spans="1:16" ht="15.6" x14ac:dyDescent="0.3">
      <c r="A34" s="3"/>
      <c r="B34" s="8" t="s">
        <v>48</v>
      </c>
      <c r="C34" s="8">
        <v>115000</v>
      </c>
      <c r="D34" s="8"/>
      <c r="E34" s="8"/>
      <c r="F34" s="8"/>
      <c r="G34" s="35"/>
      <c r="H34" s="8"/>
      <c r="I34" s="16"/>
      <c r="J34" s="35">
        <f>F34*G34+H34*I34</f>
        <v>0</v>
      </c>
      <c r="K34" s="16" t="e">
        <f>E34/(J34)</f>
        <v>#DIV/0!</v>
      </c>
      <c r="L34" s="3"/>
      <c r="M34" s="26">
        <f>E34+'6-2-22'!M34</f>
        <v>0</v>
      </c>
      <c r="N34" s="27">
        <f>M34/C34</f>
        <v>0</v>
      </c>
      <c r="O34" s="35">
        <f>J34+'6-2-22'!O34</f>
        <v>0</v>
      </c>
      <c r="P34" s="26" t="e">
        <f>M34/O34</f>
        <v>#DIV/0!</v>
      </c>
    </row>
    <row r="35" spans="1:16" ht="15.6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27"/>
      <c r="O35" s="3"/>
      <c r="P35" s="3"/>
    </row>
    <row r="36" spans="1:16" ht="15.6" x14ac:dyDescent="0.3">
      <c r="A36" s="3"/>
      <c r="B36" s="8" t="s">
        <v>49</v>
      </c>
      <c r="C36" s="8">
        <v>8</v>
      </c>
      <c r="D36" s="8"/>
      <c r="E36" s="8"/>
      <c r="F36" s="8"/>
      <c r="G36" s="35"/>
      <c r="H36" s="8"/>
      <c r="I36" s="16"/>
      <c r="J36" s="35">
        <f>F36*G36+H36*I36</f>
        <v>0</v>
      </c>
      <c r="K36" s="16" t="e">
        <f>E36/(J36)</f>
        <v>#DIV/0!</v>
      </c>
      <c r="L36" s="3"/>
      <c r="M36" s="26">
        <f>E36+'6-2-22'!M36</f>
        <v>0</v>
      </c>
      <c r="N36" s="27">
        <f>M36/C36</f>
        <v>0</v>
      </c>
      <c r="O36" s="35">
        <f>J36+'6-2-22'!O36</f>
        <v>24</v>
      </c>
      <c r="P36" s="26">
        <f>M36/O36</f>
        <v>0</v>
      </c>
    </row>
    <row r="37" spans="1:16" ht="15.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27"/>
      <c r="O37" s="3"/>
      <c r="P37" s="3"/>
    </row>
    <row r="38" spans="1:16" ht="15.6" x14ac:dyDescent="0.3">
      <c r="A38" s="3"/>
      <c r="B38" s="8" t="s">
        <v>50</v>
      </c>
      <c r="C38" s="8">
        <f>2760+480</f>
        <v>3240</v>
      </c>
      <c r="D38" s="8">
        <v>710</v>
      </c>
      <c r="E38" s="8"/>
      <c r="F38" s="8">
        <v>3</v>
      </c>
      <c r="G38" s="35">
        <v>5.5</v>
      </c>
      <c r="H38" s="8"/>
      <c r="I38" s="16"/>
      <c r="J38" s="35">
        <f>F38*G38+H38*I38</f>
        <v>16.5</v>
      </c>
      <c r="K38" s="16">
        <f>E38/(J38)</f>
        <v>0</v>
      </c>
      <c r="L38" s="3"/>
      <c r="M38" s="26">
        <f>E38+'6-2-22'!M38</f>
        <v>555</v>
      </c>
      <c r="N38" s="27">
        <f>M38/C38</f>
        <v>0.17129629629629631</v>
      </c>
      <c r="O38" s="35">
        <f>J38+'6-2-22'!O38</f>
        <v>25.5</v>
      </c>
      <c r="P38" s="26">
        <f>M38/O38</f>
        <v>21.764705882352942</v>
      </c>
    </row>
    <row r="39" spans="1:16" ht="15.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7"/>
      <c r="O39" s="3"/>
      <c r="P39" s="3"/>
    </row>
    <row r="40" spans="1:16" ht="15.6" x14ac:dyDescent="0.3">
      <c r="A40" s="3"/>
      <c r="B40" s="8" t="s">
        <v>51</v>
      </c>
      <c r="C40" s="8">
        <v>25</v>
      </c>
      <c r="D40" s="8"/>
      <c r="E40" s="8"/>
      <c r="F40" s="8"/>
      <c r="G40" s="35"/>
      <c r="H40" s="8"/>
      <c r="I40" s="16"/>
      <c r="J40" s="35">
        <f>F40*G40+H40*I40</f>
        <v>0</v>
      </c>
      <c r="K40" s="16" t="e">
        <f>E40/(J40)</f>
        <v>#DIV/0!</v>
      </c>
      <c r="L40" s="3"/>
      <c r="M40" s="26">
        <f>E40+'6-2-22'!M40</f>
        <v>0</v>
      </c>
      <c r="N40" s="27">
        <f>M40/C40</f>
        <v>0</v>
      </c>
      <c r="O40" s="35">
        <f>J40+'6-2-22'!O40</f>
        <v>0</v>
      </c>
      <c r="P40" s="26" t="e">
        <f>M40/O40</f>
        <v>#DIV/0!</v>
      </c>
    </row>
    <row r="41" spans="1:16" ht="15.6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27"/>
      <c r="O41" s="3"/>
      <c r="P41" s="3"/>
    </row>
    <row r="42" spans="1:16" ht="15.6" x14ac:dyDescent="0.3">
      <c r="A42" s="3"/>
      <c r="B42" s="8" t="s">
        <v>113</v>
      </c>
      <c r="C42" s="8" t="s">
        <v>52</v>
      </c>
      <c r="D42" s="8"/>
      <c r="E42" s="8"/>
      <c r="F42" s="8"/>
      <c r="G42" s="35"/>
      <c r="H42" s="8"/>
      <c r="I42" s="16"/>
      <c r="J42" s="35">
        <f>F42*G42+H42*I42</f>
        <v>0</v>
      </c>
      <c r="K42" s="16" t="e">
        <f>E42/(J42)</f>
        <v>#DIV/0!</v>
      </c>
      <c r="L42" s="3"/>
      <c r="M42" s="26">
        <f>E42+'6-2-22'!M42</f>
        <v>0</v>
      </c>
      <c r="N42" s="53" t="e">
        <f>M42/C42</f>
        <v>#VALUE!</v>
      </c>
      <c r="O42" s="35"/>
      <c r="P42" s="26" t="e">
        <f>M42/O42</f>
        <v>#DIV/0!</v>
      </c>
    </row>
    <row r="43" spans="1:16" ht="15.6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27"/>
      <c r="O43" s="3"/>
      <c r="P43" s="3"/>
    </row>
    <row r="44" spans="1:16" ht="15.6" x14ac:dyDescent="0.3">
      <c r="A44" s="3"/>
      <c r="B44" s="8" t="s">
        <v>114</v>
      </c>
      <c r="C44" s="8" t="s">
        <v>52</v>
      </c>
      <c r="D44" s="8"/>
      <c r="E44" s="8"/>
      <c r="F44" s="8"/>
      <c r="G44" s="35"/>
      <c r="H44" s="8"/>
      <c r="I44" s="16"/>
      <c r="J44" s="35">
        <f>F44*G44+H44*I44</f>
        <v>0</v>
      </c>
      <c r="K44" s="16" t="e">
        <f>E44/(J44)</f>
        <v>#DIV/0!</v>
      </c>
      <c r="L44" s="3"/>
      <c r="M44" s="26">
        <f>E44+'6-2-22'!M44</f>
        <v>0</v>
      </c>
      <c r="N44" s="53" t="e">
        <f>M44/C44</f>
        <v>#VALUE!</v>
      </c>
      <c r="O44" s="35"/>
      <c r="P44" s="26" t="e">
        <f>M44/O44</f>
        <v>#DIV/0!</v>
      </c>
    </row>
    <row r="45" spans="1:16" ht="15.6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27"/>
      <c r="O45" s="3"/>
      <c r="P45" s="3"/>
    </row>
    <row r="46" spans="1:16" ht="15.6" x14ac:dyDescent="0.3">
      <c r="A46" s="3"/>
      <c r="B46" s="8" t="s">
        <v>75</v>
      </c>
      <c r="C46" s="8"/>
      <c r="D46" s="43" t="s">
        <v>119</v>
      </c>
      <c r="E46" s="8"/>
      <c r="F46" s="43">
        <v>6</v>
      </c>
      <c r="G46" s="45">
        <v>7.5</v>
      </c>
      <c r="H46" s="43">
        <v>3</v>
      </c>
      <c r="I46" s="44">
        <v>4</v>
      </c>
      <c r="J46" s="45">
        <f>F46*G46+H46*I46</f>
        <v>57</v>
      </c>
      <c r="K46" s="16">
        <f>E46/(J46)</f>
        <v>0</v>
      </c>
      <c r="L46" s="3"/>
      <c r="M46" s="26">
        <f>E46+'6-2-22'!M46</f>
        <v>0</v>
      </c>
      <c r="N46" s="53" t="e">
        <f>M46/C46</f>
        <v>#DIV/0!</v>
      </c>
      <c r="O46" s="35">
        <f>J46+'6-2-22'!O42</f>
        <v>207.75</v>
      </c>
      <c r="P46" s="26">
        <f>M46/O46</f>
        <v>0</v>
      </c>
    </row>
    <row r="47" spans="1:16" ht="15.6" x14ac:dyDescent="0.3">
      <c r="A47" s="3"/>
      <c r="B47" s="3" t="s">
        <v>27</v>
      </c>
      <c r="C47" s="3"/>
      <c r="D47" s="3"/>
      <c r="E47" s="3"/>
      <c r="F47" s="3"/>
      <c r="G47" s="3"/>
      <c r="H47" s="30"/>
      <c r="I47" s="4"/>
      <c r="J47" s="3">
        <f>J20+J22+J24+J26+J28+J30+J32+J34+J36+J38+J40+J42+J44+J46</f>
        <v>85.5</v>
      </c>
      <c r="K47" s="3"/>
      <c r="L47" s="3"/>
      <c r="M47" s="3"/>
      <c r="N47" s="3"/>
      <c r="O47" s="3">
        <f>O20+O22+O24+O26+O28+O30+O32+O34+O36+O38+O40+O42+O44+O46</f>
        <v>1416</v>
      </c>
      <c r="P47" s="3"/>
    </row>
    <row r="48" spans="1:16" ht="15.6" x14ac:dyDescent="0.3">
      <c r="A48" s="3"/>
      <c r="B48" s="3"/>
      <c r="C48" s="3"/>
      <c r="D48" s="3"/>
      <c r="E48" s="3"/>
      <c r="F48" s="3"/>
      <c r="G48" s="3"/>
      <c r="H48" s="3"/>
      <c r="I48" s="4"/>
      <c r="J48" s="3"/>
      <c r="K48" s="3"/>
      <c r="L48" s="3"/>
      <c r="M48" s="3"/>
      <c r="N48" s="3"/>
      <c r="O48" s="3"/>
      <c r="P48" s="3"/>
    </row>
    <row r="49" spans="1:16" ht="15.6" x14ac:dyDescent="0.3">
      <c r="A49" s="3"/>
      <c r="B49" s="3" t="s">
        <v>28</v>
      </c>
      <c r="C49" s="3" t="s">
        <v>121</v>
      </c>
      <c r="D49" s="3"/>
      <c r="E49" s="3"/>
      <c r="F49" s="3"/>
      <c r="G49" s="3"/>
      <c r="H49" s="3"/>
      <c r="I49" s="4"/>
      <c r="J49" s="3"/>
      <c r="K49" s="3"/>
      <c r="L49" s="3"/>
      <c r="M49" s="3"/>
      <c r="N49" s="3"/>
      <c r="O49" s="3"/>
      <c r="P49" s="3"/>
    </row>
    <row r="50" spans="1:16" ht="15.6" x14ac:dyDescent="0.3">
      <c r="C50" s="33"/>
    </row>
    <row r="51" spans="1:16" ht="15.6" x14ac:dyDescent="0.3">
      <c r="B51" s="3" t="s">
        <v>32</v>
      </c>
      <c r="C51" s="33" t="s">
        <v>116</v>
      </c>
    </row>
    <row r="52" spans="1:16" ht="15.6" x14ac:dyDescent="0.3">
      <c r="C52" s="33"/>
    </row>
    <row r="53" spans="1:16" ht="15.6" x14ac:dyDescent="0.3">
      <c r="B53" s="3" t="s">
        <v>33</v>
      </c>
      <c r="C53" s="3" t="s">
        <v>117</v>
      </c>
    </row>
    <row r="54" spans="1:16" ht="15.6" x14ac:dyDescent="0.3">
      <c r="C54" s="33" t="s">
        <v>118</v>
      </c>
    </row>
  </sheetData>
  <mergeCells count="2">
    <mergeCell ref="A1:G1"/>
    <mergeCell ref="H7:I7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3832C-CC58-458F-8A74-CFD84C53FFE9}">
  <dimension ref="A1:P50"/>
  <sheetViews>
    <sheetView topLeftCell="A16" zoomScale="85" zoomScaleNormal="85" workbookViewId="0">
      <selection activeCell="M22" sqref="M22"/>
    </sheetView>
  </sheetViews>
  <sheetFormatPr defaultRowHeight="14.4" x14ac:dyDescent="0.3"/>
  <cols>
    <col min="1" max="1" width="11.33203125" customWidth="1"/>
    <col min="2" max="2" width="29.33203125" customWidth="1"/>
    <col min="3" max="3" width="22.109375" customWidth="1"/>
    <col min="4" max="4" width="14.88671875" customWidth="1"/>
    <col min="5" max="5" width="16.6640625" customWidth="1"/>
    <col min="6" max="6" width="17.44140625" customWidth="1"/>
    <col min="8" max="8" width="20.44140625" customWidth="1"/>
    <col min="11" max="11" width="10.33203125" customWidth="1"/>
    <col min="13" max="13" width="10.6640625" customWidth="1"/>
    <col min="15" max="15" width="10.6640625" customWidth="1"/>
  </cols>
  <sheetData>
    <row r="1" spans="1:16" ht="18" x14ac:dyDescent="0.35">
      <c r="A1" s="66" t="s">
        <v>0</v>
      </c>
      <c r="B1" s="66"/>
      <c r="C1" s="66"/>
      <c r="D1" s="66"/>
      <c r="E1" s="66"/>
      <c r="F1" s="66"/>
      <c r="G1" s="66"/>
      <c r="H1" s="1"/>
      <c r="I1" s="2"/>
      <c r="J1" s="1"/>
      <c r="K1" s="1"/>
      <c r="L1" s="1"/>
      <c r="M1" s="1"/>
      <c r="N1" s="1"/>
      <c r="O1" s="1"/>
      <c r="P1" s="1"/>
    </row>
    <row r="2" spans="1:16" ht="15.6" x14ac:dyDescent="0.3">
      <c r="A2" s="3"/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</row>
    <row r="3" spans="1:16" ht="15.6" x14ac:dyDescent="0.3">
      <c r="A3" s="3"/>
      <c r="B3" s="5" t="s">
        <v>1</v>
      </c>
      <c r="C3" s="6" t="s">
        <v>43</v>
      </c>
      <c r="D3" s="7"/>
      <c r="E3" s="3"/>
      <c r="F3" s="5" t="s">
        <v>2</v>
      </c>
      <c r="G3" s="8">
        <v>4355</v>
      </c>
      <c r="H3" s="5" t="s">
        <v>41</v>
      </c>
      <c r="I3" s="36">
        <v>49</v>
      </c>
      <c r="J3" s="3"/>
      <c r="K3" s="3"/>
      <c r="L3" s="3"/>
      <c r="M3" s="3"/>
      <c r="N3" s="3"/>
      <c r="O3" s="3"/>
      <c r="P3" s="3"/>
    </row>
    <row r="4" spans="1:16" ht="15.6" x14ac:dyDescent="0.3">
      <c r="A4" s="3"/>
      <c r="B4" s="5" t="s">
        <v>3</v>
      </c>
      <c r="C4" s="37">
        <v>300155</v>
      </c>
      <c r="D4" s="7"/>
      <c r="E4" s="3"/>
      <c r="F4" s="5" t="s">
        <v>4</v>
      </c>
      <c r="G4" s="8">
        <f>J16+'6-1-22'!G4</f>
        <v>1330.5</v>
      </c>
      <c r="H4" s="34" t="s">
        <v>42</v>
      </c>
      <c r="I4" s="4">
        <v>18</v>
      </c>
      <c r="J4" s="3"/>
      <c r="K4" s="3"/>
      <c r="L4" s="3"/>
      <c r="M4" s="3"/>
      <c r="N4" s="3"/>
      <c r="O4" s="3"/>
      <c r="P4" s="3"/>
    </row>
    <row r="5" spans="1:16" ht="15.6" x14ac:dyDescent="0.3">
      <c r="A5" s="3"/>
      <c r="B5" s="5" t="s">
        <v>5</v>
      </c>
      <c r="C5" s="38">
        <v>44714</v>
      </c>
      <c r="D5" s="3"/>
      <c r="E5" s="3"/>
      <c r="F5" s="3"/>
      <c r="G5" s="3"/>
      <c r="H5" s="3"/>
      <c r="I5" s="4"/>
      <c r="J5" s="3"/>
      <c r="K5" s="3"/>
      <c r="L5" s="3"/>
      <c r="M5" s="3"/>
      <c r="N5" s="3"/>
      <c r="O5" s="3"/>
      <c r="P5" s="3"/>
    </row>
    <row r="6" spans="1:16" ht="15.6" x14ac:dyDescent="0.3">
      <c r="A6" s="3"/>
      <c r="B6" s="5"/>
      <c r="C6" s="3"/>
      <c r="D6" s="3"/>
      <c r="E6" s="3"/>
      <c r="F6" s="3"/>
      <c r="G6" s="3"/>
      <c r="H6" s="3"/>
      <c r="I6" s="4"/>
      <c r="J6" s="3"/>
      <c r="K6" s="3"/>
      <c r="L6" s="3"/>
      <c r="M6" s="3"/>
      <c r="N6" s="3"/>
      <c r="O6" s="3"/>
      <c r="P6" s="3"/>
    </row>
    <row r="7" spans="1:16" ht="15.6" x14ac:dyDescent="0.3">
      <c r="A7" s="10" t="s">
        <v>6</v>
      </c>
      <c r="B7" s="11"/>
      <c r="C7" s="12" t="s">
        <v>7</v>
      </c>
      <c r="D7" s="3"/>
      <c r="E7" s="12" t="s">
        <v>8</v>
      </c>
      <c r="F7" s="12" t="s">
        <v>34</v>
      </c>
      <c r="G7" s="3"/>
      <c r="H7" s="67" t="s">
        <v>7</v>
      </c>
      <c r="I7" s="67"/>
      <c r="J7" s="12" t="s">
        <v>8</v>
      </c>
      <c r="K7" s="3"/>
      <c r="L7" s="3"/>
      <c r="M7" s="3"/>
      <c r="N7" s="3"/>
      <c r="O7" s="3"/>
      <c r="P7" s="3"/>
    </row>
    <row r="8" spans="1:16" ht="15.6" x14ac:dyDescent="0.3">
      <c r="A8" s="13">
        <v>1</v>
      </c>
      <c r="B8" s="5" t="s">
        <v>9</v>
      </c>
      <c r="C8" s="14" t="s">
        <v>35</v>
      </c>
      <c r="D8" s="15"/>
      <c r="E8" s="35">
        <v>10.75</v>
      </c>
      <c r="F8" s="16">
        <v>66</v>
      </c>
      <c r="G8" s="11">
        <v>9</v>
      </c>
      <c r="H8" s="14" t="s">
        <v>40</v>
      </c>
      <c r="I8" s="8"/>
      <c r="J8" s="39">
        <v>10.75</v>
      </c>
      <c r="K8" s="3"/>
      <c r="L8" s="3"/>
      <c r="M8" s="3"/>
      <c r="N8" s="3"/>
      <c r="O8" s="3"/>
      <c r="P8" s="3"/>
    </row>
    <row r="9" spans="1:16" ht="15.6" x14ac:dyDescent="0.3">
      <c r="A9" s="13">
        <v>2</v>
      </c>
      <c r="B9" s="5" t="s">
        <v>10</v>
      </c>
      <c r="C9" s="14" t="s">
        <v>37</v>
      </c>
      <c r="D9" s="8"/>
      <c r="E9" s="35">
        <v>10.75</v>
      </c>
      <c r="F9" s="16"/>
      <c r="G9" s="11">
        <v>10</v>
      </c>
      <c r="H9" s="14"/>
      <c r="I9" s="8"/>
      <c r="J9" s="39"/>
      <c r="K9" s="3"/>
      <c r="L9" s="3"/>
      <c r="M9" s="3"/>
      <c r="N9" s="3"/>
      <c r="O9" s="3"/>
      <c r="P9" s="3"/>
    </row>
    <row r="10" spans="1:16" ht="15.6" x14ac:dyDescent="0.3">
      <c r="A10" s="13">
        <v>3</v>
      </c>
      <c r="B10" s="5" t="s">
        <v>11</v>
      </c>
      <c r="C10" s="14" t="s">
        <v>36</v>
      </c>
      <c r="D10" s="8"/>
      <c r="E10" s="35">
        <v>10.75</v>
      </c>
      <c r="F10" s="16">
        <v>78</v>
      </c>
      <c r="G10" s="11">
        <v>11</v>
      </c>
      <c r="H10" s="3"/>
      <c r="I10" s="8"/>
      <c r="J10" s="39"/>
      <c r="K10" s="3"/>
      <c r="L10" s="3"/>
      <c r="M10" s="3"/>
      <c r="N10" s="3"/>
      <c r="O10" s="3"/>
      <c r="P10" s="3"/>
    </row>
    <row r="11" spans="1:16" ht="15.6" x14ac:dyDescent="0.3">
      <c r="A11" s="13">
        <v>4</v>
      </c>
      <c r="B11" s="5" t="s">
        <v>12</v>
      </c>
      <c r="C11" s="14" t="s">
        <v>29</v>
      </c>
      <c r="D11" s="8"/>
      <c r="E11" s="35">
        <v>10.75</v>
      </c>
      <c r="F11" s="16"/>
      <c r="G11" s="11">
        <v>12</v>
      </c>
      <c r="H11" s="3"/>
      <c r="I11" s="8"/>
      <c r="J11" s="39"/>
      <c r="K11" s="3"/>
      <c r="L11" s="3"/>
      <c r="M11" s="3"/>
      <c r="N11" s="3"/>
      <c r="O11" s="3"/>
      <c r="P11" s="3"/>
    </row>
    <row r="12" spans="1:16" ht="15.6" x14ac:dyDescent="0.3">
      <c r="A12" s="13">
        <v>5</v>
      </c>
      <c r="B12" s="3"/>
      <c r="C12" s="31" t="s">
        <v>30</v>
      </c>
      <c r="D12" s="8"/>
      <c r="E12" s="35">
        <v>10.75</v>
      </c>
      <c r="F12" s="16"/>
      <c r="G12" s="11">
        <v>13</v>
      </c>
      <c r="H12" s="3"/>
      <c r="I12" s="8"/>
      <c r="J12" s="39"/>
      <c r="K12" s="3"/>
      <c r="L12" s="3"/>
      <c r="M12" s="3"/>
      <c r="N12" s="3"/>
      <c r="O12" s="3"/>
      <c r="P12" s="3"/>
    </row>
    <row r="13" spans="1:16" ht="15.6" x14ac:dyDescent="0.3">
      <c r="A13" s="13">
        <v>6</v>
      </c>
      <c r="B13" s="3"/>
      <c r="C13" s="14" t="s">
        <v>31</v>
      </c>
      <c r="D13" s="8"/>
      <c r="E13" s="35">
        <v>10.75</v>
      </c>
      <c r="F13" s="16">
        <v>74</v>
      </c>
      <c r="G13" s="11">
        <v>14</v>
      </c>
      <c r="H13" s="18"/>
      <c r="I13" s="8"/>
      <c r="J13" s="39"/>
      <c r="K13" s="3"/>
      <c r="L13" s="3"/>
      <c r="M13" s="3"/>
      <c r="N13" s="3"/>
      <c r="O13" s="3"/>
      <c r="P13" s="3"/>
    </row>
    <row r="14" spans="1:16" ht="15.6" x14ac:dyDescent="0.3">
      <c r="A14" s="13">
        <v>7</v>
      </c>
      <c r="B14" s="5" t="s">
        <v>52</v>
      </c>
      <c r="C14" s="14" t="s">
        <v>39</v>
      </c>
      <c r="D14" s="8"/>
      <c r="E14" s="35">
        <v>10.75</v>
      </c>
      <c r="F14" s="16"/>
      <c r="G14" s="11">
        <v>15</v>
      </c>
      <c r="H14" s="3"/>
      <c r="I14" s="8"/>
      <c r="J14" s="39"/>
      <c r="K14" s="3"/>
      <c r="L14" s="3"/>
      <c r="M14" s="3"/>
      <c r="N14" s="3"/>
      <c r="O14" s="3"/>
      <c r="P14" s="3"/>
    </row>
    <row r="15" spans="1:16" ht="15.6" x14ac:dyDescent="0.3">
      <c r="A15" s="13">
        <v>8</v>
      </c>
      <c r="B15" s="3"/>
      <c r="C15" s="14" t="s">
        <v>38</v>
      </c>
      <c r="D15" s="8"/>
      <c r="E15" s="35">
        <v>10.75</v>
      </c>
      <c r="F15" s="16"/>
      <c r="G15" s="11">
        <v>16</v>
      </c>
      <c r="H15" s="3"/>
      <c r="I15" s="8"/>
      <c r="J15" s="39"/>
      <c r="K15" s="3"/>
      <c r="L15" s="3"/>
      <c r="M15" s="3"/>
      <c r="N15" s="3"/>
      <c r="O15" s="3"/>
      <c r="P15" s="3"/>
    </row>
    <row r="16" spans="1:16" ht="15.6" x14ac:dyDescent="0.3">
      <c r="A16" s="3"/>
      <c r="B16" s="3"/>
      <c r="C16" s="3"/>
      <c r="D16" s="3"/>
      <c r="E16" s="3"/>
      <c r="F16" s="3"/>
      <c r="G16" s="13"/>
      <c r="H16" s="7" t="s">
        <v>13</v>
      </c>
      <c r="I16" s="3"/>
      <c r="J16" s="8">
        <f>SUM(E8:E15)+SUM(J8:J15)</f>
        <v>96.75</v>
      </c>
      <c r="K16" s="3"/>
      <c r="L16" s="3"/>
      <c r="M16" s="3"/>
      <c r="N16" s="3"/>
      <c r="O16" s="3"/>
      <c r="P16" s="3"/>
    </row>
    <row r="17" spans="1:16" ht="15.6" x14ac:dyDescent="0.3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  <c r="L17" s="3"/>
      <c r="M17" s="3"/>
      <c r="N17" s="3"/>
      <c r="O17" s="3"/>
      <c r="P17" s="3"/>
    </row>
    <row r="18" spans="1:16" ht="93.6" x14ac:dyDescent="0.3">
      <c r="A18" s="19"/>
      <c r="B18" s="20" t="s">
        <v>14</v>
      </c>
      <c r="C18" s="21" t="s">
        <v>15</v>
      </c>
      <c r="D18" s="22" t="s">
        <v>16</v>
      </c>
      <c r="E18" s="22" t="s">
        <v>17</v>
      </c>
      <c r="F18" s="22" t="s">
        <v>18</v>
      </c>
      <c r="G18" s="22" t="s">
        <v>19</v>
      </c>
      <c r="H18" s="22" t="s">
        <v>18</v>
      </c>
      <c r="I18" s="22" t="s">
        <v>19</v>
      </c>
      <c r="J18" s="22" t="s">
        <v>20</v>
      </c>
      <c r="K18" s="23" t="s">
        <v>21</v>
      </c>
      <c r="L18" s="24"/>
      <c r="M18" s="23" t="s">
        <v>22</v>
      </c>
      <c r="N18" s="23" t="s">
        <v>23</v>
      </c>
      <c r="O18" s="23" t="s">
        <v>24</v>
      </c>
      <c r="P18" s="23" t="s">
        <v>25</v>
      </c>
    </row>
    <row r="19" spans="1:16" ht="15.6" x14ac:dyDescent="0.3">
      <c r="A19" s="19"/>
      <c r="B19" s="19"/>
      <c r="C19" s="24"/>
      <c r="D19" s="24"/>
      <c r="E19" s="24"/>
      <c r="F19" s="24"/>
      <c r="G19" s="24"/>
      <c r="H19" s="24"/>
      <c r="I19" s="24"/>
      <c r="J19" s="24"/>
      <c r="K19" s="25"/>
      <c r="L19" s="24"/>
      <c r="M19" s="3"/>
      <c r="N19" s="3"/>
      <c r="O19" s="3"/>
      <c r="P19" s="3"/>
    </row>
    <row r="20" spans="1:16" ht="15.6" x14ac:dyDescent="0.3">
      <c r="A20" s="3"/>
      <c r="B20" s="8" t="s">
        <v>26</v>
      </c>
      <c r="C20" s="8">
        <v>1</v>
      </c>
      <c r="D20" s="8">
        <v>1</v>
      </c>
      <c r="E20" s="8"/>
      <c r="F20" s="8"/>
      <c r="G20" s="35">
        <v>0</v>
      </c>
      <c r="H20" s="8"/>
      <c r="I20" s="16"/>
      <c r="J20" s="35">
        <f>F20*G20+H20*I20</f>
        <v>0</v>
      </c>
      <c r="K20" s="16" t="e">
        <f>E20/(J20)</f>
        <v>#DIV/0!</v>
      </c>
      <c r="L20" s="3"/>
      <c r="M20" s="26">
        <v>0</v>
      </c>
      <c r="N20" s="27">
        <f>M20/C20</f>
        <v>0</v>
      </c>
      <c r="O20" s="35">
        <f>J20+'6-1-22'!O20</f>
        <v>108</v>
      </c>
      <c r="P20" s="26">
        <f>M20/O20</f>
        <v>0</v>
      </c>
    </row>
    <row r="21" spans="1:16" ht="15.6" x14ac:dyDescent="0.3">
      <c r="A21" s="3"/>
      <c r="B21" s="3"/>
      <c r="C21" s="3"/>
      <c r="D21" s="3"/>
      <c r="E21" s="3"/>
      <c r="F21" s="3"/>
      <c r="G21" s="40"/>
      <c r="H21" s="3"/>
      <c r="I21" s="28"/>
      <c r="J21" s="40"/>
      <c r="K21" s="28"/>
      <c r="L21" s="3"/>
      <c r="M21" s="29"/>
      <c r="N21" s="3"/>
      <c r="O21" s="3"/>
      <c r="P21" s="3"/>
    </row>
    <row r="22" spans="1:16" ht="15.6" x14ac:dyDescent="0.3">
      <c r="A22" s="3"/>
      <c r="B22" s="8" t="s">
        <v>53</v>
      </c>
      <c r="C22" s="8">
        <v>125400</v>
      </c>
      <c r="D22" s="41"/>
      <c r="E22" s="41"/>
      <c r="F22" s="8">
        <v>9</v>
      </c>
      <c r="G22" s="35">
        <v>3</v>
      </c>
      <c r="H22" s="8"/>
      <c r="I22" s="16"/>
      <c r="J22" s="35">
        <f>F22*G22+H22*I22</f>
        <v>27</v>
      </c>
      <c r="K22" s="16">
        <f>E22/(J22)</f>
        <v>0</v>
      </c>
      <c r="L22" s="3"/>
      <c r="M22" s="26">
        <f>E22+'6-1-22'!M22</f>
        <v>125400</v>
      </c>
      <c r="N22" s="27">
        <f>M22/C22</f>
        <v>1</v>
      </c>
      <c r="O22" s="35">
        <f>J22+'6-1-22'!O22</f>
        <v>667.75</v>
      </c>
      <c r="P22" s="26">
        <f>M22/O22</f>
        <v>187.79483339573193</v>
      </c>
    </row>
    <row r="23" spans="1:16" ht="15.6" x14ac:dyDescent="0.3">
      <c r="A23" s="3"/>
      <c r="B23" s="3"/>
      <c r="C23" s="3"/>
      <c r="D23" s="3"/>
      <c r="E23" s="3"/>
      <c r="F23" s="3"/>
      <c r="G23" s="40"/>
      <c r="H23" s="3"/>
      <c r="I23" s="28"/>
      <c r="J23" s="40"/>
      <c r="K23" s="28"/>
      <c r="L23" s="3"/>
      <c r="M23" s="29"/>
      <c r="N23" s="3"/>
      <c r="O23" s="36"/>
      <c r="P23" s="29"/>
    </row>
    <row r="24" spans="1:16" ht="15.6" x14ac:dyDescent="0.3">
      <c r="A24" s="3"/>
      <c r="B24" s="8" t="s">
        <v>54</v>
      </c>
      <c r="C24" s="8">
        <v>125400</v>
      </c>
      <c r="D24" s="8"/>
      <c r="E24" s="8"/>
      <c r="F24" s="8">
        <v>9</v>
      </c>
      <c r="G24" s="35">
        <v>4.75</v>
      </c>
      <c r="H24" s="8"/>
      <c r="I24" s="16"/>
      <c r="J24" s="35">
        <f>F24*G24+H24*I24</f>
        <v>42.75</v>
      </c>
      <c r="K24" s="16">
        <f>E24/(J24)</f>
        <v>0</v>
      </c>
      <c r="L24" s="3"/>
      <c r="M24" s="26">
        <f>E24+'6-1-22'!M24</f>
        <v>0</v>
      </c>
      <c r="N24" s="27">
        <f>M24/C24</f>
        <v>0</v>
      </c>
      <c r="O24" s="35">
        <f>J24+'6-1-22'!O24</f>
        <v>294.5</v>
      </c>
      <c r="P24" s="26">
        <f>M24/O24</f>
        <v>0</v>
      </c>
    </row>
    <row r="25" spans="1:16" ht="15.6" x14ac:dyDescent="0.3">
      <c r="A25" s="3"/>
      <c r="B25" s="3"/>
      <c r="C25" s="3"/>
      <c r="D25" s="3"/>
      <c r="E25" s="3"/>
      <c r="F25" s="3"/>
      <c r="G25" s="36"/>
      <c r="H25" s="3"/>
      <c r="I25" s="4"/>
      <c r="J25" s="36"/>
      <c r="K25" s="4"/>
      <c r="L25" s="3"/>
      <c r="M25" s="29"/>
      <c r="N25" s="3"/>
      <c r="O25" s="3"/>
      <c r="P25" s="3"/>
    </row>
    <row r="26" spans="1:16" ht="15.6" x14ac:dyDescent="0.3">
      <c r="A26" s="3"/>
      <c r="B26" s="8" t="s">
        <v>44</v>
      </c>
      <c r="C26" s="8">
        <v>3040</v>
      </c>
      <c r="D26" s="8"/>
      <c r="E26" s="8"/>
      <c r="F26" s="8"/>
      <c r="G26" s="35"/>
      <c r="H26" s="8"/>
      <c r="I26" s="16"/>
      <c r="J26" s="35">
        <f>F26*G26+H26*I26</f>
        <v>0</v>
      </c>
      <c r="K26" s="16" t="e">
        <f>E26/(J26)</f>
        <v>#DIV/0!</v>
      </c>
      <c r="L26" s="3"/>
      <c r="M26" s="26">
        <f>E26+'6-1-22'!M26</f>
        <v>0</v>
      </c>
      <c r="N26" s="27">
        <f>M26/C26</f>
        <v>0</v>
      </c>
      <c r="O26" s="35">
        <f>J26+'6-1-22'!O26</f>
        <v>27</v>
      </c>
      <c r="P26" s="26">
        <f>M26/O26</f>
        <v>0</v>
      </c>
    </row>
    <row r="27" spans="1:16" ht="15.6" x14ac:dyDescent="0.3">
      <c r="A27" s="3"/>
      <c r="B27" s="3"/>
      <c r="C27" s="3"/>
      <c r="D27" s="3"/>
      <c r="E27" s="3"/>
      <c r="F27" s="3"/>
      <c r="G27" s="36"/>
      <c r="H27" s="3"/>
      <c r="I27" s="4"/>
      <c r="J27" s="36"/>
      <c r="K27" s="4"/>
      <c r="L27" s="3"/>
      <c r="M27" s="29"/>
      <c r="N27" s="3"/>
      <c r="O27" s="3"/>
      <c r="P27" s="3"/>
    </row>
    <row r="28" spans="1:16" ht="15.6" x14ac:dyDescent="0.3">
      <c r="A28" s="3"/>
      <c r="B28" s="8" t="s">
        <v>45</v>
      </c>
      <c r="C28" s="8">
        <v>3040</v>
      </c>
      <c r="D28" s="8"/>
      <c r="E28" s="8"/>
      <c r="F28" s="8"/>
      <c r="G28" s="35"/>
      <c r="H28" s="8"/>
      <c r="I28" s="16"/>
      <c r="J28" s="35">
        <f>F28*G28+H28*I28</f>
        <v>0</v>
      </c>
      <c r="K28" s="16" t="e">
        <f>E28/(J28)</f>
        <v>#DIV/0!</v>
      </c>
      <c r="L28" s="3"/>
      <c r="M28" s="26">
        <f>E28+'6-1-22'!M28</f>
        <v>0</v>
      </c>
      <c r="N28" s="27">
        <f>M28/C28</f>
        <v>0</v>
      </c>
      <c r="O28" s="35">
        <f>'6-1-22'!O28</f>
        <v>0</v>
      </c>
      <c r="P28" s="26" t="e">
        <f>M28/O28</f>
        <v>#DIV/0!</v>
      </c>
    </row>
    <row r="29" spans="1:16" ht="15.6" x14ac:dyDescent="0.3">
      <c r="A29" s="3"/>
      <c r="B29" s="3"/>
      <c r="C29" s="3"/>
      <c r="D29" s="3"/>
      <c r="E29" s="3"/>
      <c r="F29" s="3"/>
      <c r="G29" s="36"/>
      <c r="H29" s="3"/>
      <c r="I29" s="4"/>
      <c r="J29" s="36"/>
      <c r="K29" s="4"/>
      <c r="L29" s="3"/>
      <c r="M29" s="29"/>
      <c r="N29" s="3"/>
      <c r="O29" s="3"/>
      <c r="P29" s="3"/>
    </row>
    <row r="30" spans="1:16" ht="15.6" x14ac:dyDescent="0.3">
      <c r="A30" s="3"/>
      <c r="B30" s="8" t="s">
        <v>47</v>
      </c>
      <c r="C30" s="8">
        <v>125400</v>
      </c>
      <c r="D30" s="8"/>
      <c r="E30" s="8"/>
      <c r="F30" s="8"/>
      <c r="G30" s="35"/>
      <c r="H30" s="8"/>
      <c r="I30" s="16"/>
      <c r="J30" s="35">
        <f>F30*G30+H30*I30</f>
        <v>0</v>
      </c>
      <c r="K30" s="16" t="e">
        <f>E30/(J30)</f>
        <v>#DIV/0!</v>
      </c>
      <c r="L30" s="3"/>
      <c r="M30" s="26">
        <f>E30+'6-1-22'!M30</f>
        <v>0</v>
      </c>
      <c r="N30" s="27">
        <f>M30/C30</f>
        <v>0</v>
      </c>
      <c r="O30" s="35">
        <f>J30+'6-1-22'!O30</f>
        <v>49.5</v>
      </c>
      <c r="P30" s="26">
        <f>M30/O30</f>
        <v>0</v>
      </c>
    </row>
    <row r="31" spans="1:16" ht="15.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7"/>
      <c r="O31" s="3"/>
      <c r="P31" s="3"/>
    </row>
    <row r="32" spans="1:16" ht="15.6" x14ac:dyDescent="0.3">
      <c r="A32" s="3"/>
      <c r="B32" s="8" t="s">
        <v>46</v>
      </c>
      <c r="C32" s="8">
        <v>324</v>
      </c>
      <c r="D32" s="8"/>
      <c r="E32" s="8"/>
      <c r="F32" s="8"/>
      <c r="G32" s="35"/>
      <c r="H32" s="8"/>
      <c r="I32" s="16"/>
      <c r="J32" s="35">
        <f>F32*G32+H32*I32</f>
        <v>0</v>
      </c>
      <c r="K32" s="16" t="e">
        <f>E32/(J32)</f>
        <v>#DIV/0!</v>
      </c>
      <c r="L32" s="3"/>
      <c r="M32" s="26">
        <f>E32+'6-1-22'!M32</f>
        <v>0</v>
      </c>
      <c r="N32" s="27">
        <f>M32/C32</f>
        <v>0</v>
      </c>
      <c r="O32" s="35">
        <f>J32+'6-1-22'!O32</f>
        <v>0</v>
      </c>
      <c r="P32" s="26" t="e">
        <f>M32/O32</f>
        <v>#DIV/0!</v>
      </c>
    </row>
    <row r="33" spans="1:16" ht="15.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7"/>
      <c r="O33" s="3"/>
      <c r="P33" s="3"/>
    </row>
    <row r="34" spans="1:16" ht="15.6" x14ac:dyDescent="0.3">
      <c r="A34" s="3"/>
      <c r="B34" s="8" t="s">
        <v>48</v>
      </c>
      <c r="C34" s="8">
        <v>115000</v>
      </c>
      <c r="D34" s="8"/>
      <c r="E34" s="8"/>
      <c r="F34" s="8"/>
      <c r="G34" s="35"/>
      <c r="H34" s="8"/>
      <c r="I34" s="16"/>
      <c r="J34" s="35">
        <f>F34*G34+H34*I34</f>
        <v>0</v>
      </c>
      <c r="K34" s="16" t="e">
        <f>E34/(J34)</f>
        <v>#DIV/0!</v>
      </c>
      <c r="L34" s="3"/>
      <c r="M34" s="26">
        <f>E34+'6-1-22'!M34</f>
        <v>0</v>
      </c>
      <c r="N34" s="27">
        <f>M34/C34</f>
        <v>0</v>
      </c>
      <c r="O34" s="35">
        <f>J34+'6-1-22'!O34</f>
        <v>0</v>
      </c>
      <c r="P34" s="26" t="e">
        <f>M34/O34</f>
        <v>#DIV/0!</v>
      </c>
    </row>
    <row r="35" spans="1:16" ht="15.6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27"/>
      <c r="O35" s="3"/>
      <c r="P35" s="3"/>
    </row>
    <row r="36" spans="1:16" ht="15.6" x14ac:dyDescent="0.3">
      <c r="A36" s="3"/>
      <c r="B36" s="8" t="s">
        <v>49</v>
      </c>
      <c r="C36" s="8">
        <v>8</v>
      </c>
      <c r="D36" s="8"/>
      <c r="E36" s="8"/>
      <c r="F36" s="8"/>
      <c r="G36" s="35"/>
      <c r="H36" s="8"/>
      <c r="I36" s="16"/>
      <c r="J36" s="35">
        <f>F36*G36+H36*I36</f>
        <v>0</v>
      </c>
      <c r="K36" s="16" t="e">
        <f>E36/(J36)</f>
        <v>#DIV/0!</v>
      </c>
      <c r="L36" s="3"/>
      <c r="M36" s="26">
        <f>E36+'6-1-22'!M36</f>
        <v>0</v>
      </c>
      <c r="N36" s="27">
        <f>M36/C36</f>
        <v>0</v>
      </c>
      <c r="O36" s="35">
        <f>J36+'6-1-22'!O36</f>
        <v>24</v>
      </c>
      <c r="P36" s="26">
        <f>M36/O36</f>
        <v>0</v>
      </c>
    </row>
    <row r="37" spans="1:16" ht="15.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27"/>
      <c r="O37" s="3"/>
      <c r="P37" s="3"/>
    </row>
    <row r="38" spans="1:16" ht="15.6" x14ac:dyDescent="0.3">
      <c r="A38" s="3"/>
      <c r="B38" s="8" t="s">
        <v>50</v>
      </c>
      <c r="C38" s="8">
        <f>2760+480</f>
        <v>3240</v>
      </c>
      <c r="D38" s="8"/>
      <c r="E38" s="8"/>
      <c r="F38" s="8"/>
      <c r="G38" s="35"/>
      <c r="H38" s="8"/>
      <c r="I38" s="16"/>
      <c r="J38" s="35">
        <f>F38*G38+H38*I38</f>
        <v>0</v>
      </c>
      <c r="K38" s="16" t="e">
        <f>E38/(J38)</f>
        <v>#DIV/0!</v>
      </c>
      <c r="L38" s="3"/>
      <c r="M38" s="26">
        <f>E38+'6-1-22'!M38</f>
        <v>555</v>
      </c>
      <c r="N38" s="27">
        <f>M38/C38</f>
        <v>0.17129629629629631</v>
      </c>
      <c r="O38" s="35">
        <f>J38+'6-1-22'!O38</f>
        <v>9</v>
      </c>
      <c r="P38" s="26">
        <f>M38/O38</f>
        <v>61.666666666666664</v>
      </c>
    </row>
    <row r="39" spans="1:16" ht="15.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7"/>
      <c r="O39" s="3"/>
      <c r="P39" s="3"/>
    </row>
    <row r="40" spans="1:16" ht="15.6" x14ac:dyDescent="0.3">
      <c r="A40" s="3"/>
      <c r="B40" s="8" t="s">
        <v>51</v>
      </c>
      <c r="C40" s="8">
        <v>25</v>
      </c>
      <c r="D40" s="8"/>
      <c r="E40" s="8"/>
      <c r="F40" s="8"/>
      <c r="G40" s="35"/>
      <c r="H40" s="8"/>
      <c r="I40" s="16"/>
      <c r="J40" s="35">
        <f>F40*G40+H40*I40</f>
        <v>0</v>
      </c>
      <c r="K40" s="16" t="e">
        <f>E40/(J40)</f>
        <v>#DIV/0!</v>
      </c>
      <c r="L40" s="3"/>
      <c r="M40" s="26">
        <f>E40+'6-1-22'!M40</f>
        <v>0</v>
      </c>
      <c r="N40" s="27">
        <f>M40/C40</f>
        <v>0</v>
      </c>
      <c r="O40" s="35">
        <f>J40+'6-1-22'!O40</f>
        <v>0</v>
      </c>
      <c r="P40" s="26" t="e">
        <f>M40/O40</f>
        <v>#DIV/0!</v>
      </c>
    </row>
    <row r="41" spans="1:16" ht="15.6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27"/>
      <c r="O41" s="3"/>
      <c r="P41" s="3"/>
    </row>
    <row r="42" spans="1:16" ht="15.6" x14ac:dyDescent="0.3">
      <c r="A42" s="3"/>
      <c r="B42" s="8" t="s">
        <v>75</v>
      </c>
      <c r="C42" s="8"/>
      <c r="D42" s="43" t="s">
        <v>119</v>
      </c>
      <c r="E42" s="8"/>
      <c r="F42" s="43">
        <v>9</v>
      </c>
      <c r="G42" s="45">
        <v>3</v>
      </c>
      <c r="H42" s="8"/>
      <c r="I42" s="16"/>
      <c r="J42" s="45">
        <f>F42*G42+H42*I42</f>
        <v>27</v>
      </c>
      <c r="K42" s="16">
        <f>E42/(J42)</f>
        <v>0</v>
      </c>
      <c r="L42" s="3"/>
      <c r="M42" s="26">
        <f>E42+'6-1-22'!M42</f>
        <v>0</v>
      </c>
      <c r="N42" s="27" t="e">
        <f>M42/C42</f>
        <v>#DIV/0!</v>
      </c>
      <c r="O42" s="35">
        <f>J42+'6-1-22'!O42</f>
        <v>150.75</v>
      </c>
      <c r="P42" s="26">
        <f>M42/O42</f>
        <v>0</v>
      </c>
    </row>
    <row r="43" spans="1:16" ht="15.6" x14ac:dyDescent="0.3">
      <c r="A43" s="3"/>
      <c r="B43" s="3" t="s">
        <v>27</v>
      </c>
      <c r="C43" s="3"/>
      <c r="D43" s="3"/>
      <c r="E43" s="3"/>
      <c r="F43" s="3"/>
      <c r="G43" s="3"/>
      <c r="H43" s="30"/>
      <c r="I43" s="4"/>
      <c r="J43" s="3">
        <f>J20+J22+J24+J26+J28+J30+J32+J34+J36+J38+J40+J42</f>
        <v>96.75</v>
      </c>
      <c r="K43" s="3"/>
      <c r="L43" s="3"/>
      <c r="M43" s="3"/>
      <c r="N43" s="3"/>
      <c r="O43" s="3">
        <f>O20+O22+O24+O26+O28+O30+O32+O34+O36+O38+O40+O42</f>
        <v>1330.5</v>
      </c>
      <c r="P43" s="3"/>
    </row>
    <row r="44" spans="1:16" ht="15.6" x14ac:dyDescent="0.3">
      <c r="A44" s="3"/>
      <c r="B44" s="3"/>
      <c r="C44" s="3"/>
      <c r="D44" s="3"/>
      <c r="E44" s="3"/>
      <c r="F44" s="3"/>
      <c r="G44" s="3"/>
      <c r="H44" s="3"/>
      <c r="I44" s="4"/>
      <c r="J44" s="3"/>
      <c r="K44" s="3"/>
      <c r="L44" s="3"/>
      <c r="M44" s="3"/>
      <c r="N44" s="3"/>
      <c r="O44" s="3"/>
      <c r="P44" s="3"/>
    </row>
    <row r="45" spans="1:16" ht="15.6" x14ac:dyDescent="0.3">
      <c r="A45" s="3"/>
      <c r="B45" s="3" t="s">
        <v>28</v>
      </c>
      <c r="C45" s="3" t="s">
        <v>112</v>
      </c>
      <c r="D45" s="3"/>
      <c r="E45" s="3"/>
      <c r="F45" s="3"/>
      <c r="G45" s="3"/>
      <c r="H45" s="3"/>
      <c r="I45" s="4"/>
      <c r="J45" s="3"/>
      <c r="K45" s="3"/>
      <c r="L45" s="3"/>
      <c r="M45" s="3"/>
      <c r="N45" s="3"/>
      <c r="O45" s="3"/>
      <c r="P45" s="3"/>
    </row>
    <row r="46" spans="1:16" ht="15.6" x14ac:dyDescent="0.3">
      <c r="C46" s="33" t="s">
        <v>108</v>
      </c>
    </row>
    <row r="47" spans="1:16" ht="15.6" x14ac:dyDescent="0.3">
      <c r="B47" s="3" t="s">
        <v>32</v>
      </c>
      <c r="C47" s="33" t="s">
        <v>109</v>
      </c>
    </row>
    <row r="48" spans="1:16" ht="15.6" x14ac:dyDescent="0.3">
      <c r="C48" s="33"/>
    </row>
    <row r="49" spans="2:3" ht="15.6" x14ac:dyDescent="0.3">
      <c r="B49" s="3" t="s">
        <v>33</v>
      </c>
      <c r="C49" s="3" t="s">
        <v>110</v>
      </c>
    </row>
    <row r="50" spans="2:3" ht="15.6" x14ac:dyDescent="0.3">
      <c r="C50" s="33" t="s">
        <v>111</v>
      </c>
    </row>
  </sheetData>
  <mergeCells count="2">
    <mergeCell ref="A1:G1"/>
    <mergeCell ref="H7:I7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3E073-4007-45A9-B72D-0ECE54FC6D47}">
  <dimension ref="A1:P50"/>
  <sheetViews>
    <sheetView topLeftCell="A19" zoomScale="85" zoomScaleNormal="85" workbookViewId="0">
      <selection activeCell="M42" sqref="M42"/>
    </sheetView>
  </sheetViews>
  <sheetFormatPr defaultRowHeight="14.4" x14ac:dyDescent="0.3"/>
  <cols>
    <col min="1" max="1" width="11.33203125" customWidth="1"/>
    <col min="2" max="2" width="29.33203125" customWidth="1"/>
    <col min="3" max="3" width="22.109375" customWidth="1"/>
    <col min="4" max="4" width="14.88671875" customWidth="1"/>
    <col min="5" max="5" width="16.6640625" customWidth="1"/>
    <col min="6" max="6" width="17.44140625" customWidth="1"/>
    <col min="8" max="8" width="20.44140625" customWidth="1"/>
    <col min="13" max="13" width="10.6640625" customWidth="1"/>
    <col min="15" max="15" width="10.6640625" customWidth="1"/>
  </cols>
  <sheetData>
    <row r="1" spans="1:16" ht="18" x14ac:dyDescent="0.35">
      <c r="A1" s="66" t="s">
        <v>0</v>
      </c>
      <c r="B1" s="66"/>
      <c r="C1" s="66"/>
      <c r="D1" s="66"/>
      <c r="E1" s="66"/>
      <c r="F1" s="66"/>
      <c r="G1" s="66"/>
      <c r="H1" s="1"/>
      <c r="I1" s="2"/>
      <c r="J1" s="1"/>
      <c r="K1" s="1"/>
      <c r="L1" s="1"/>
      <c r="M1" s="1"/>
      <c r="N1" s="1"/>
      <c r="O1" s="1"/>
      <c r="P1" s="1"/>
    </row>
    <row r="2" spans="1:16" ht="15.6" x14ac:dyDescent="0.3">
      <c r="A2" s="3"/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</row>
    <row r="3" spans="1:16" ht="15.6" x14ac:dyDescent="0.3">
      <c r="A3" s="3"/>
      <c r="B3" s="5" t="s">
        <v>1</v>
      </c>
      <c r="C3" s="6" t="s">
        <v>43</v>
      </c>
      <c r="D3" s="7"/>
      <c r="E3" s="3"/>
      <c r="F3" s="5" t="s">
        <v>2</v>
      </c>
      <c r="G3" s="8">
        <v>4355</v>
      </c>
      <c r="H3" s="5" t="s">
        <v>41</v>
      </c>
      <c r="I3" s="36">
        <v>49</v>
      </c>
      <c r="J3" s="3"/>
      <c r="K3" s="3"/>
      <c r="L3" s="3"/>
      <c r="M3" s="3"/>
      <c r="N3" s="3"/>
      <c r="O3" s="3"/>
      <c r="P3" s="3"/>
    </row>
    <row r="4" spans="1:16" ht="15.6" x14ac:dyDescent="0.3">
      <c r="A4" s="3"/>
      <c r="B4" s="5" t="s">
        <v>3</v>
      </c>
      <c r="C4" s="37">
        <v>300155</v>
      </c>
      <c r="D4" s="7"/>
      <c r="E4" s="3"/>
      <c r="F4" s="5" t="s">
        <v>4</v>
      </c>
      <c r="G4" s="8">
        <f>J16+'5-31-22'!G4</f>
        <v>1233.75</v>
      </c>
      <c r="H4" s="34" t="s">
        <v>42</v>
      </c>
      <c r="I4" s="4">
        <v>17</v>
      </c>
      <c r="J4" s="3"/>
      <c r="K4" s="3"/>
      <c r="L4" s="3"/>
      <c r="M4" s="3"/>
      <c r="N4" s="3"/>
      <c r="O4" s="3"/>
      <c r="P4" s="3"/>
    </row>
    <row r="5" spans="1:16" ht="15.6" x14ac:dyDescent="0.3">
      <c r="A5" s="3"/>
      <c r="B5" s="5" t="s">
        <v>5</v>
      </c>
      <c r="C5" s="38">
        <v>44713</v>
      </c>
      <c r="D5" s="3"/>
      <c r="E5" s="3"/>
      <c r="F5" s="3"/>
      <c r="G5" s="3"/>
      <c r="H5" s="3"/>
      <c r="I5" s="4"/>
      <c r="J5" s="3"/>
      <c r="K5" s="3"/>
      <c r="L5" s="3"/>
      <c r="M5" s="3"/>
      <c r="N5" s="3"/>
      <c r="O5" s="3"/>
      <c r="P5" s="3"/>
    </row>
    <row r="6" spans="1:16" ht="15.6" x14ac:dyDescent="0.3">
      <c r="A6" s="3"/>
      <c r="B6" s="5"/>
      <c r="C6" s="3"/>
      <c r="D6" s="3"/>
      <c r="E6" s="3"/>
      <c r="F6" s="3"/>
      <c r="G6" s="3"/>
      <c r="H6" s="3"/>
      <c r="I6" s="4"/>
      <c r="J6" s="3"/>
      <c r="K6" s="3"/>
      <c r="L6" s="3"/>
      <c r="M6" s="3"/>
      <c r="N6" s="3"/>
      <c r="O6" s="3"/>
      <c r="P6" s="3"/>
    </row>
    <row r="7" spans="1:16" ht="15.6" x14ac:dyDescent="0.3">
      <c r="A7" s="10" t="s">
        <v>6</v>
      </c>
      <c r="B7" s="11"/>
      <c r="C7" s="12" t="s">
        <v>7</v>
      </c>
      <c r="D7" s="3"/>
      <c r="E7" s="12" t="s">
        <v>8</v>
      </c>
      <c r="F7" s="12" t="s">
        <v>34</v>
      </c>
      <c r="G7" s="3"/>
      <c r="H7" s="67" t="s">
        <v>7</v>
      </c>
      <c r="I7" s="67"/>
      <c r="J7" s="12" t="s">
        <v>8</v>
      </c>
      <c r="K7" s="3"/>
      <c r="L7" s="3"/>
      <c r="M7" s="3"/>
      <c r="N7" s="3"/>
      <c r="O7" s="3"/>
      <c r="P7" s="3"/>
    </row>
    <row r="8" spans="1:16" ht="15.6" x14ac:dyDescent="0.3">
      <c r="A8" s="13">
        <v>1</v>
      </c>
      <c r="B8" s="5" t="s">
        <v>9</v>
      </c>
      <c r="C8" s="14" t="s">
        <v>35</v>
      </c>
      <c r="D8" s="15"/>
      <c r="E8" s="35">
        <v>9</v>
      </c>
      <c r="F8" s="16">
        <v>66</v>
      </c>
      <c r="G8" s="11">
        <v>9</v>
      </c>
      <c r="H8" s="14" t="s">
        <v>40</v>
      </c>
      <c r="I8" s="8" t="s">
        <v>70</v>
      </c>
      <c r="J8" s="39"/>
      <c r="K8" s="3"/>
      <c r="L8" s="3"/>
      <c r="M8" s="3"/>
      <c r="N8" s="3"/>
      <c r="O8" s="3"/>
      <c r="P8" s="3"/>
    </row>
    <row r="9" spans="1:16" ht="15.6" x14ac:dyDescent="0.3">
      <c r="A9" s="13">
        <v>2</v>
      </c>
      <c r="B9" s="5" t="s">
        <v>10</v>
      </c>
      <c r="C9" s="14" t="s">
        <v>37</v>
      </c>
      <c r="D9" s="8"/>
      <c r="E9" s="35">
        <v>9</v>
      </c>
      <c r="F9" s="16"/>
      <c r="G9" s="11">
        <v>10</v>
      </c>
      <c r="H9" s="14"/>
      <c r="I9" s="8"/>
      <c r="J9" s="39"/>
      <c r="K9" s="3"/>
      <c r="L9" s="3"/>
      <c r="M9" s="3"/>
      <c r="N9" s="3"/>
      <c r="O9" s="3"/>
      <c r="P9" s="3"/>
    </row>
    <row r="10" spans="1:16" ht="15.6" x14ac:dyDescent="0.3">
      <c r="A10" s="13">
        <v>3</v>
      </c>
      <c r="B10" s="5" t="s">
        <v>11</v>
      </c>
      <c r="C10" s="14" t="s">
        <v>36</v>
      </c>
      <c r="D10" s="8"/>
      <c r="E10" s="35">
        <v>9</v>
      </c>
      <c r="F10" s="16">
        <v>78</v>
      </c>
      <c r="G10" s="11">
        <v>11</v>
      </c>
      <c r="H10" s="3"/>
      <c r="I10" s="8"/>
      <c r="J10" s="39"/>
      <c r="K10" s="3"/>
      <c r="L10" s="3"/>
      <c r="M10" s="3"/>
      <c r="N10" s="3"/>
      <c r="O10" s="3"/>
      <c r="P10" s="3"/>
    </row>
    <row r="11" spans="1:16" ht="15.6" x14ac:dyDescent="0.3">
      <c r="A11" s="13">
        <v>4</v>
      </c>
      <c r="B11" s="5" t="s">
        <v>12</v>
      </c>
      <c r="C11" s="14" t="s">
        <v>29</v>
      </c>
      <c r="D11" s="8"/>
      <c r="E11" s="35">
        <v>9</v>
      </c>
      <c r="F11" s="16"/>
      <c r="G11" s="11">
        <v>12</v>
      </c>
      <c r="H11" s="3"/>
      <c r="I11" s="8"/>
      <c r="J11" s="39"/>
      <c r="K11" s="3"/>
      <c r="L11" s="3"/>
      <c r="M11" s="3"/>
      <c r="N11" s="3"/>
      <c r="O11" s="3"/>
      <c r="P11" s="3"/>
    </row>
    <row r="12" spans="1:16" ht="15.6" x14ac:dyDescent="0.3">
      <c r="A12" s="13">
        <v>5</v>
      </c>
      <c r="B12" s="3"/>
      <c r="C12" s="31" t="s">
        <v>30</v>
      </c>
      <c r="D12" s="8"/>
      <c r="E12" s="35">
        <v>9</v>
      </c>
      <c r="F12" s="16"/>
      <c r="G12" s="11">
        <v>13</v>
      </c>
      <c r="H12" s="3"/>
      <c r="I12" s="8"/>
      <c r="J12" s="39"/>
      <c r="K12" s="3"/>
      <c r="L12" s="3"/>
      <c r="M12" s="3"/>
      <c r="N12" s="3"/>
      <c r="O12" s="3"/>
      <c r="P12" s="3"/>
    </row>
    <row r="13" spans="1:16" ht="15.6" x14ac:dyDescent="0.3">
      <c r="A13" s="13">
        <v>6</v>
      </c>
      <c r="B13" s="3"/>
      <c r="C13" s="14" t="s">
        <v>31</v>
      </c>
      <c r="D13" s="8"/>
      <c r="E13" s="35">
        <v>9</v>
      </c>
      <c r="F13" s="16">
        <v>74</v>
      </c>
      <c r="G13" s="11">
        <v>14</v>
      </c>
      <c r="H13" s="18"/>
      <c r="I13" s="8"/>
      <c r="J13" s="39"/>
      <c r="K13" s="3"/>
      <c r="L13" s="3"/>
      <c r="M13" s="3"/>
      <c r="N13" s="3"/>
      <c r="O13" s="3"/>
      <c r="P13" s="3"/>
    </row>
    <row r="14" spans="1:16" ht="15.6" x14ac:dyDescent="0.3">
      <c r="A14" s="13">
        <v>7</v>
      </c>
      <c r="B14" s="5" t="s">
        <v>52</v>
      </c>
      <c r="C14" s="14" t="s">
        <v>39</v>
      </c>
      <c r="D14" s="8"/>
      <c r="E14" s="35">
        <v>9</v>
      </c>
      <c r="F14" s="16"/>
      <c r="G14" s="11">
        <v>15</v>
      </c>
      <c r="H14" s="3"/>
      <c r="I14" s="8"/>
      <c r="J14" s="39"/>
      <c r="K14" s="3"/>
      <c r="L14" s="3"/>
      <c r="M14" s="3"/>
      <c r="N14" s="3"/>
      <c r="O14" s="3"/>
      <c r="P14" s="3"/>
    </row>
    <row r="15" spans="1:16" ht="15.6" x14ac:dyDescent="0.3">
      <c r="A15" s="13">
        <v>8</v>
      </c>
      <c r="B15" s="3"/>
      <c r="C15" s="14" t="s">
        <v>38</v>
      </c>
      <c r="D15" s="8"/>
      <c r="E15" s="35">
        <v>9</v>
      </c>
      <c r="F15" s="16"/>
      <c r="G15" s="11">
        <v>16</v>
      </c>
      <c r="H15" s="3"/>
      <c r="I15" s="8"/>
      <c r="J15" s="39"/>
      <c r="K15" s="3"/>
      <c r="L15" s="3"/>
      <c r="M15" s="3"/>
      <c r="N15" s="3"/>
      <c r="O15" s="3"/>
      <c r="P15" s="3"/>
    </row>
    <row r="16" spans="1:16" ht="15.6" x14ac:dyDescent="0.3">
      <c r="A16" s="3"/>
      <c r="B16" s="3"/>
      <c r="C16" s="3"/>
      <c r="D16" s="3"/>
      <c r="E16" s="3"/>
      <c r="F16" s="3"/>
      <c r="G16" s="13"/>
      <c r="H16" s="7" t="s">
        <v>13</v>
      </c>
      <c r="I16" s="3"/>
      <c r="J16" s="8">
        <f>SUM(E8:E15)+SUM(J8:J15)</f>
        <v>72</v>
      </c>
      <c r="K16" s="3"/>
      <c r="L16" s="3"/>
      <c r="M16" s="3"/>
      <c r="N16" s="3"/>
      <c r="O16" s="3"/>
      <c r="P16" s="3"/>
    </row>
    <row r="17" spans="1:16" ht="15.6" x14ac:dyDescent="0.3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  <c r="L17" s="3"/>
      <c r="M17" s="3"/>
      <c r="N17" s="3"/>
      <c r="O17" s="3"/>
      <c r="P17" s="3"/>
    </row>
    <row r="18" spans="1:16" ht="93.6" x14ac:dyDescent="0.3">
      <c r="A18" s="19"/>
      <c r="B18" s="20" t="s">
        <v>14</v>
      </c>
      <c r="C18" s="21" t="s">
        <v>15</v>
      </c>
      <c r="D18" s="22" t="s">
        <v>16</v>
      </c>
      <c r="E18" s="22" t="s">
        <v>17</v>
      </c>
      <c r="F18" s="22" t="s">
        <v>18</v>
      </c>
      <c r="G18" s="22" t="s">
        <v>19</v>
      </c>
      <c r="H18" s="22" t="s">
        <v>18</v>
      </c>
      <c r="I18" s="22" t="s">
        <v>19</v>
      </c>
      <c r="J18" s="22" t="s">
        <v>20</v>
      </c>
      <c r="K18" s="23" t="s">
        <v>21</v>
      </c>
      <c r="L18" s="24"/>
      <c r="M18" s="23" t="s">
        <v>22</v>
      </c>
      <c r="N18" s="23" t="s">
        <v>23</v>
      </c>
      <c r="O18" s="23" t="s">
        <v>24</v>
      </c>
      <c r="P18" s="23" t="s">
        <v>25</v>
      </c>
    </row>
    <row r="19" spans="1:16" ht="15.6" x14ac:dyDescent="0.3">
      <c r="A19" s="19"/>
      <c r="B19" s="19"/>
      <c r="C19" s="24"/>
      <c r="D19" s="24"/>
      <c r="E19" s="24"/>
      <c r="F19" s="24"/>
      <c r="G19" s="24"/>
      <c r="H19" s="24"/>
      <c r="I19" s="24"/>
      <c r="J19" s="24"/>
      <c r="K19" s="25"/>
      <c r="L19" s="24"/>
      <c r="M19" s="3"/>
      <c r="N19" s="3"/>
      <c r="O19" s="3"/>
      <c r="P19" s="3"/>
    </row>
    <row r="20" spans="1:16" ht="15.6" x14ac:dyDescent="0.3">
      <c r="A20" s="3"/>
      <c r="B20" s="8" t="s">
        <v>26</v>
      </c>
      <c r="C20" s="8">
        <v>1</v>
      </c>
      <c r="D20" s="8">
        <v>1</v>
      </c>
      <c r="E20" s="8"/>
      <c r="F20" s="8"/>
      <c r="G20" s="35">
        <v>0</v>
      </c>
      <c r="H20" s="8"/>
      <c r="I20" s="16"/>
      <c r="J20" s="35">
        <f>F20*G20+H20*I20</f>
        <v>0</v>
      </c>
      <c r="K20" s="16" t="e">
        <f>E20/(J20)</f>
        <v>#DIV/0!</v>
      </c>
      <c r="L20" s="3"/>
      <c r="M20" s="26">
        <v>0</v>
      </c>
      <c r="N20" s="27">
        <f>M20/C20</f>
        <v>0</v>
      </c>
      <c r="O20" s="35">
        <f>J20+'5-31-22'!O20</f>
        <v>108</v>
      </c>
      <c r="P20" s="26">
        <f>M20/O20</f>
        <v>0</v>
      </c>
    </row>
    <row r="21" spans="1:16" ht="15.6" x14ac:dyDescent="0.3">
      <c r="A21" s="3"/>
      <c r="B21" s="3"/>
      <c r="C21" s="3"/>
      <c r="D21" s="3"/>
      <c r="E21" s="3"/>
      <c r="F21" s="3"/>
      <c r="G21" s="40"/>
      <c r="H21" s="3"/>
      <c r="I21" s="28"/>
      <c r="J21" s="40"/>
      <c r="K21" s="28"/>
      <c r="L21" s="3"/>
      <c r="M21" s="29"/>
      <c r="N21" s="3"/>
      <c r="O21" s="3"/>
      <c r="P21" s="3"/>
    </row>
    <row r="22" spans="1:16" ht="15.6" x14ac:dyDescent="0.3">
      <c r="A22" s="3"/>
      <c r="B22" s="8" t="s">
        <v>53</v>
      </c>
      <c r="C22" s="8">
        <v>125400</v>
      </c>
      <c r="D22" s="41"/>
      <c r="E22" s="41"/>
      <c r="F22" s="8">
        <v>8</v>
      </c>
      <c r="G22" s="35">
        <v>6</v>
      </c>
      <c r="H22" s="8"/>
      <c r="I22" s="16"/>
      <c r="J22" s="35">
        <f>F22*G22+H22*I22</f>
        <v>48</v>
      </c>
      <c r="K22" s="16">
        <f>E22/(J22)</f>
        <v>0</v>
      </c>
      <c r="L22" s="3"/>
      <c r="M22" s="26">
        <f>E22+'5-31-22'!M22</f>
        <v>125400</v>
      </c>
      <c r="N22" s="27">
        <f>M22/C22</f>
        <v>1</v>
      </c>
      <c r="O22" s="35">
        <f>J22+'5-31-22'!O22</f>
        <v>640.75</v>
      </c>
      <c r="P22" s="26">
        <f>M22/O22</f>
        <v>195.70815450643778</v>
      </c>
    </row>
    <row r="23" spans="1:16" ht="15.6" x14ac:dyDescent="0.3">
      <c r="A23" s="3"/>
      <c r="B23" s="3"/>
      <c r="C23" s="3"/>
      <c r="D23" s="3"/>
      <c r="E23" s="3"/>
      <c r="F23" s="3"/>
      <c r="G23" s="40"/>
      <c r="H23" s="3"/>
      <c r="I23" s="28"/>
      <c r="J23" s="40"/>
      <c r="K23" s="28"/>
      <c r="L23" s="3"/>
      <c r="M23" s="29"/>
      <c r="N23" s="3"/>
      <c r="O23" s="36"/>
      <c r="P23" s="29"/>
    </row>
    <row r="24" spans="1:16" ht="15.6" x14ac:dyDescent="0.3">
      <c r="A24" s="3"/>
      <c r="B24" s="8" t="s">
        <v>54</v>
      </c>
      <c r="C24" s="8">
        <v>125400</v>
      </c>
      <c r="D24" s="8"/>
      <c r="E24" s="8"/>
      <c r="F24" s="8"/>
      <c r="G24" s="35"/>
      <c r="H24" s="8"/>
      <c r="I24" s="16"/>
      <c r="J24" s="35">
        <f>F24*G24+H24*I24</f>
        <v>0</v>
      </c>
      <c r="K24" s="16" t="e">
        <f>E24/(J24)</f>
        <v>#DIV/0!</v>
      </c>
      <c r="L24" s="3"/>
      <c r="M24" s="26">
        <f>E24+'5-31-22'!M24</f>
        <v>0</v>
      </c>
      <c r="N24" s="27">
        <f>M24/C24</f>
        <v>0</v>
      </c>
      <c r="O24" s="35">
        <f>J24+'5-31-22'!O24</f>
        <v>251.75</v>
      </c>
      <c r="P24" s="26">
        <f>M24/O24</f>
        <v>0</v>
      </c>
    </row>
    <row r="25" spans="1:16" ht="15.6" x14ac:dyDescent="0.3">
      <c r="A25" s="3"/>
      <c r="B25" s="3"/>
      <c r="C25" s="3"/>
      <c r="D25" s="3"/>
      <c r="E25" s="3"/>
      <c r="F25" s="3"/>
      <c r="G25" s="36"/>
      <c r="H25" s="3"/>
      <c r="I25" s="4"/>
      <c r="J25" s="36"/>
      <c r="K25" s="4"/>
      <c r="L25" s="3"/>
      <c r="M25" s="29"/>
      <c r="N25" s="3"/>
      <c r="O25" s="3"/>
      <c r="P25" s="3"/>
    </row>
    <row r="26" spans="1:16" ht="15.6" x14ac:dyDescent="0.3">
      <c r="A26" s="3"/>
      <c r="B26" s="8" t="s">
        <v>44</v>
      </c>
      <c r="C26" s="8">
        <v>3040</v>
      </c>
      <c r="D26" s="8"/>
      <c r="E26" s="8"/>
      <c r="F26" s="8"/>
      <c r="G26" s="35"/>
      <c r="H26" s="8"/>
      <c r="I26" s="16"/>
      <c r="J26" s="35">
        <f>F26*G26+H26*I26</f>
        <v>0</v>
      </c>
      <c r="K26" s="16" t="e">
        <f>E26/(J26)</f>
        <v>#DIV/0!</v>
      </c>
      <c r="L26" s="3"/>
      <c r="M26" s="26">
        <f>E26+'5-31-22'!M26</f>
        <v>0</v>
      </c>
      <c r="N26" s="27">
        <f>M26/C26</f>
        <v>0</v>
      </c>
      <c r="O26" s="35">
        <f>J26+'5-31-22'!O26</f>
        <v>27</v>
      </c>
      <c r="P26" s="26">
        <f>M26/O26</f>
        <v>0</v>
      </c>
    </row>
    <row r="27" spans="1:16" ht="15.6" x14ac:dyDescent="0.3">
      <c r="A27" s="3"/>
      <c r="B27" s="3"/>
      <c r="C27" s="3"/>
      <c r="D27" s="3"/>
      <c r="E27" s="3"/>
      <c r="F27" s="3"/>
      <c r="G27" s="36"/>
      <c r="H27" s="3"/>
      <c r="I27" s="4"/>
      <c r="J27" s="36"/>
      <c r="K27" s="4"/>
      <c r="L27" s="3"/>
      <c r="M27" s="29"/>
      <c r="N27" s="3"/>
      <c r="O27" s="3"/>
      <c r="P27" s="3"/>
    </row>
    <row r="28" spans="1:16" ht="15.6" x14ac:dyDescent="0.3">
      <c r="A28" s="3"/>
      <c r="B28" s="8" t="s">
        <v>45</v>
      </c>
      <c r="C28" s="8">
        <v>3040</v>
      </c>
      <c r="D28" s="8"/>
      <c r="E28" s="8"/>
      <c r="F28" s="8"/>
      <c r="G28" s="35"/>
      <c r="H28" s="8"/>
      <c r="I28" s="16"/>
      <c r="J28" s="35">
        <f>F28*G28+H28*I28</f>
        <v>0</v>
      </c>
      <c r="K28" s="16" t="e">
        <f>E28/(J28)</f>
        <v>#DIV/0!</v>
      </c>
      <c r="L28" s="3"/>
      <c r="M28" s="26">
        <f>E28+'5-31-22'!M28</f>
        <v>0</v>
      </c>
      <c r="N28" s="27">
        <f>M28/C28</f>
        <v>0</v>
      </c>
      <c r="O28" s="35">
        <f>J28+'5-31-22'!O28</f>
        <v>0</v>
      </c>
      <c r="P28" s="26" t="e">
        <f>M28/O28</f>
        <v>#DIV/0!</v>
      </c>
    </row>
    <row r="29" spans="1:16" ht="15.6" x14ac:dyDescent="0.3">
      <c r="A29" s="3"/>
      <c r="B29" s="3"/>
      <c r="C29" s="3"/>
      <c r="D29" s="3"/>
      <c r="E29" s="3"/>
      <c r="F29" s="3"/>
      <c r="G29" s="36"/>
      <c r="H29" s="3"/>
      <c r="I29" s="4"/>
      <c r="J29" s="36"/>
      <c r="K29" s="4"/>
      <c r="L29" s="3"/>
      <c r="M29" s="29"/>
      <c r="N29" s="3"/>
      <c r="O29" s="3"/>
      <c r="P29" s="3"/>
    </row>
    <row r="30" spans="1:16" ht="15.6" x14ac:dyDescent="0.3">
      <c r="A30" s="3"/>
      <c r="B30" s="8" t="s">
        <v>47</v>
      </c>
      <c r="C30" s="8">
        <v>125400</v>
      </c>
      <c r="D30" s="8"/>
      <c r="E30" s="8"/>
      <c r="F30" s="8"/>
      <c r="G30" s="35"/>
      <c r="H30" s="8"/>
      <c r="I30" s="16"/>
      <c r="J30" s="35">
        <f>F30*G30+H30*I30</f>
        <v>0</v>
      </c>
      <c r="K30" s="16" t="e">
        <f>E30/(J30)</f>
        <v>#DIV/0!</v>
      </c>
      <c r="L30" s="3"/>
      <c r="M30" s="26">
        <f>E30+'5-31-22'!M30</f>
        <v>0</v>
      </c>
      <c r="N30" s="27">
        <f>M30/C30</f>
        <v>0</v>
      </c>
      <c r="O30" s="35">
        <f>J30+'5-31-22'!O30</f>
        <v>49.5</v>
      </c>
      <c r="P30" s="26">
        <f>M30/O30</f>
        <v>0</v>
      </c>
    </row>
    <row r="31" spans="1:16" ht="15.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7"/>
      <c r="O31" s="3"/>
      <c r="P31" s="3"/>
    </row>
    <row r="32" spans="1:16" ht="15.6" x14ac:dyDescent="0.3">
      <c r="A32" s="3"/>
      <c r="B32" s="8" t="s">
        <v>46</v>
      </c>
      <c r="C32" s="8">
        <v>324</v>
      </c>
      <c r="D32" s="8"/>
      <c r="E32" s="8"/>
      <c r="F32" s="8"/>
      <c r="G32" s="35"/>
      <c r="H32" s="8"/>
      <c r="I32" s="16"/>
      <c r="J32" s="35">
        <f>F32*G32+H32*I32</f>
        <v>0</v>
      </c>
      <c r="K32" s="16" t="e">
        <f>E32/(J32)</f>
        <v>#DIV/0!</v>
      </c>
      <c r="L32" s="3"/>
      <c r="M32" s="26">
        <f>E32+'5-31-22'!M32</f>
        <v>0</v>
      </c>
      <c r="N32" s="27">
        <f>M32/C32</f>
        <v>0</v>
      </c>
      <c r="O32" s="35">
        <f>J32+'5-31-22'!O32</f>
        <v>0</v>
      </c>
      <c r="P32" s="26" t="e">
        <f>M32/O32</f>
        <v>#DIV/0!</v>
      </c>
    </row>
    <row r="33" spans="1:16" ht="15.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7"/>
      <c r="O33" s="3"/>
      <c r="P33" s="3"/>
    </row>
    <row r="34" spans="1:16" ht="15.6" x14ac:dyDescent="0.3">
      <c r="A34" s="3"/>
      <c r="B34" s="8" t="s">
        <v>48</v>
      </c>
      <c r="C34" s="8">
        <v>115000</v>
      </c>
      <c r="D34" s="8"/>
      <c r="E34" s="8"/>
      <c r="F34" s="8"/>
      <c r="G34" s="35"/>
      <c r="H34" s="8"/>
      <c r="I34" s="16"/>
      <c r="J34" s="35">
        <f>F34*G34+H34*I34</f>
        <v>0</v>
      </c>
      <c r="K34" s="16" t="e">
        <f>E34/(J34)</f>
        <v>#DIV/0!</v>
      </c>
      <c r="L34" s="3"/>
      <c r="M34" s="26">
        <f>E34+'5-31-22'!M34</f>
        <v>0</v>
      </c>
      <c r="N34" s="27">
        <f>M34/C34</f>
        <v>0</v>
      </c>
      <c r="O34" s="35">
        <f>J34+'5-31-22'!O34</f>
        <v>0</v>
      </c>
      <c r="P34" s="26" t="e">
        <f>M34/O34</f>
        <v>#DIV/0!</v>
      </c>
    </row>
    <row r="35" spans="1:16" ht="15.6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27"/>
      <c r="O35" s="3"/>
      <c r="P35" s="3"/>
    </row>
    <row r="36" spans="1:16" ht="15.6" x14ac:dyDescent="0.3">
      <c r="A36" s="3"/>
      <c r="B36" s="8" t="s">
        <v>49</v>
      </c>
      <c r="C36" s="8">
        <v>8</v>
      </c>
      <c r="D36" s="8"/>
      <c r="E36" s="8"/>
      <c r="F36" s="8">
        <v>8</v>
      </c>
      <c r="G36" s="35">
        <v>3</v>
      </c>
      <c r="H36" s="8"/>
      <c r="I36" s="16"/>
      <c r="J36" s="35">
        <f>F36*G36+H36*I36</f>
        <v>24</v>
      </c>
      <c r="K36" s="16">
        <f>E36/(J36)</f>
        <v>0</v>
      </c>
      <c r="L36" s="3"/>
      <c r="M36" s="26">
        <f>E36+'5-31-22'!M36</f>
        <v>0</v>
      </c>
      <c r="N36" s="27">
        <f>M36/C36</f>
        <v>0</v>
      </c>
      <c r="O36" s="35">
        <f>J36+'5-31-22'!O36</f>
        <v>24</v>
      </c>
      <c r="P36" s="26">
        <f>M36/O36</f>
        <v>0</v>
      </c>
    </row>
    <row r="37" spans="1:16" ht="15.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27"/>
      <c r="O37" s="3"/>
      <c r="P37" s="3"/>
    </row>
    <row r="38" spans="1:16" ht="15.6" x14ac:dyDescent="0.3">
      <c r="A38" s="3"/>
      <c r="B38" s="8" t="s">
        <v>50</v>
      </c>
      <c r="C38" s="8">
        <f>2760+480</f>
        <v>3240</v>
      </c>
      <c r="D38" s="8"/>
      <c r="E38" s="8"/>
      <c r="F38" s="8"/>
      <c r="G38" s="35"/>
      <c r="H38" s="8"/>
      <c r="I38" s="16"/>
      <c r="J38" s="35">
        <f>F38*G38+H38*I38</f>
        <v>0</v>
      </c>
      <c r="K38" s="16" t="e">
        <f>E38/(J38)</f>
        <v>#DIV/0!</v>
      </c>
      <c r="L38" s="3"/>
      <c r="M38" s="26">
        <f>E38+'5-31-22'!M38</f>
        <v>555</v>
      </c>
      <c r="N38" s="27">
        <f>M38/C38</f>
        <v>0.17129629629629631</v>
      </c>
      <c r="O38" s="35">
        <f>J38+'5-31-22'!O38</f>
        <v>9</v>
      </c>
      <c r="P38" s="26">
        <f>M38/O38</f>
        <v>61.666666666666664</v>
      </c>
    </row>
    <row r="39" spans="1:16" ht="15.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7"/>
      <c r="O39" s="3"/>
      <c r="P39" s="3"/>
    </row>
    <row r="40" spans="1:16" ht="15.6" x14ac:dyDescent="0.3">
      <c r="A40" s="3"/>
      <c r="B40" s="8" t="s">
        <v>51</v>
      </c>
      <c r="C40" s="8">
        <v>25</v>
      </c>
      <c r="D40" s="8"/>
      <c r="E40" s="8"/>
      <c r="F40" s="8"/>
      <c r="G40" s="35"/>
      <c r="H40" s="8"/>
      <c r="I40" s="16"/>
      <c r="J40" s="35">
        <f>F40*G40+H40*I40</f>
        <v>0</v>
      </c>
      <c r="K40" s="16" t="e">
        <f>E40/(J40)</f>
        <v>#DIV/0!</v>
      </c>
      <c r="L40" s="3"/>
      <c r="M40" s="26">
        <f>E40+'5-31-22'!M40</f>
        <v>0</v>
      </c>
      <c r="N40" s="27">
        <f>M40/C40</f>
        <v>0</v>
      </c>
      <c r="O40" s="35">
        <f>J40+'5-31-22'!O40</f>
        <v>0</v>
      </c>
      <c r="P40" s="26" t="e">
        <f>M40/O40</f>
        <v>#DIV/0!</v>
      </c>
    </row>
    <row r="41" spans="1:16" ht="15.6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27"/>
      <c r="O41" s="3"/>
      <c r="P41" s="3"/>
    </row>
    <row r="42" spans="1:16" ht="15.6" x14ac:dyDescent="0.3">
      <c r="A42" s="3"/>
      <c r="B42" s="8" t="s">
        <v>75</v>
      </c>
      <c r="C42" s="8"/>
      <c r="D42" s="8"/>
      <c r="E42" s="8"/>
      <c r="F42" s="8"/>
      <c r="G42" s="35"/>
      <c r="H42" s="8"/>
      <c r="I42" s="16"/>
      <c r="J42" s="35">
        <f>F42*G42+H42*I42</f>
        <v>0</v>
      </c>
      <c r="K42" s="16" t="e">
        <f>E42/(J42)</f>
        <v>#DIV/0!</v>
      </c>
      <c r="L42" s="3"/>
      <c r="M42" s="26">
        <f>E42+'5-31-22'!M42</f>
        <v>0</v>
      </c>
      <c r="N42" s="27" t="e">
        <f>M42/C42</f>
        <v>#DIV/0!</v>
      </c>
      <c r="O42" s="35">
        <f>J42+'5-31-22'!O42</f>
        <v>123.75</v>
      </c>
      <c r="P42" s="26">
        <f>M42/O42</f>
        <v>0</v>
      </c>
    </row>
    <row r="43" spans="1:16" ht="15.6" x14ac:dyDescent="0.3">
      <c r="A43" s="3"/>
      <c r="B43" s="3" t="s">
        <v>27</v>
      </c>
      <c r="C43" s="3"/>
      <c r="D43" s="3"/>
      <c r="E43" s="3"/>
      <c r="F43" s="3"/>
      <c r="G43" s="3"/>
      <c r="H43" s="30"/>
      <c r="I43" s="4"/>
      <c r="J43" s="3">
        <f>J20+J22+J24+J26+J28+J30+J32+J34+J36+J38+J40+J42</f>
        <v>72</v>
      </c>
      <c r="K43" s="3"/>
      <c r="L43" s="3"/>
      <c r="M43" s="3"/>
      <c r="N43" s="3"/>
      <c r="O43" s="3">
        <f>O20+O22+O24+O26+O28+O30+O32+O34+O36+O38+O40+O42</f>
        <v>1233.75</v>
      </c>
      <c r="P43" s="3"/>
    </row>
    <row r="44" spans="1:16" ht="15.6" x14ac:dyDescent="0.3">
      <c r="A44" s="3"/>
      <c r="B44" s="3"/>
      <c r="C44" s="3"/>
      <c r="D44" s="3"/>
      <c r="E44" s="3"/>
      <c r="F44" s="3"/>
      <c r="G44" s="3"/>
      <c r="H44" s="3"/>
      <c r="I44" s="4"/>
      <c r="J44" s="3"/>
      <c r="K44" s="3"/>
      <c r="L44" s="3"/>
      <c r="M44" s="3"/>
      <c r="N44" s="3"/>
      <c r="O44" s="3"/>
      <c r="P44" s="3"/>
    </row>
    <row r="45" spans="1:16" ht="15.6" x14ac:dyDescent="0.3">
      <c r="A45" s="3"/>
      <c r="B45" s="3" t="s">
        <v>28</v>
      </c>
      <c r="C45" s="3" t="s">
        <v>107</v>
      </c>
      <c r="D45" s="3"/>
      <c r="E45" s="3"/>
      <c r="F45" s="3"/>
      <c r="G45" s="3"/>
      <c r="H45" s="3"/>
      <c r="I45" s="4"/>
      <c r="J45" s="3"/>
      <c r="K45" s="3"/>
      <c r="L45" s="3"/>
      <c r="M45" s="3"/>
      <c r="N45" s="3"/>
      <c r="O45" s="3"/>
      <c r="P45" s="3"/>
    </row>
    <row r="46" spans="1:16" ht="15.6" x14ac:dyDescent="0.3">
      <c r="C46" s="33"/>
    </row>
    <row r="47" spans="1:16" ht="15.6" x14ac:dyDescent="0.3">
      <c r="B47" s="3" t="s">
        <v>32</v>
      </c>
      <c r="C47" s="33" t="s">
        <v>104</v>
      </c>
    </row>
    <row r="48" spans="1:16" ht="15.6" x14ac:dyDescent="0.3">
      <c r="C48" s="33"/>
    </row>
    <row r="49" spans="2:3" ht="15.6" x14ac:dyDescent="0.3">
      <c r="B49" s="3" t="s">
        <v>33</v>
      </c>
      <c r="C49" s="3" t="s">
        <v>105</v>
      </c>
    </row>
    <row r="50" spans="2:3" ht="15.6" x14ac:dyDescent="0.3">
      <c r="C50" s="33" t="s">
        <v>106</v>
      </c>
    </row>
  </sheetData>
  <mergeCells count="2">
    <mergeCell ref="A1:G1"/>
    <mergeCell ref="H7:I7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6A552-B52A-4C89-A233-D19A0AB2ED6E}">
  <dimension ref="A1:P49"/>
  <sheetViews>
    <sheetView topLeftCell="A19" zoomScale="85" zoomScaleNormal="85" workbookViewId="0">
      <selection activeCell="M42" sqref="M42"/>
    </sheetView>
  </sheetViews>
  <sheetFormatPr defaultRowHeight="14.4" x14ac:dyDescent="0.3"/>
  <cols>
    <col min="1" max="1" width="11.33203125" customWidth="1"/>
    <col min="2" max="2" width="29.33203125" customWidth="1"/>
    <col min="3" max="3" width="22.109375" customWidth="1"/>
    <col min="4" max="4" width="14.88671875" customWidth="1"/>
    <col min="5" max="5" width="16.6640625" customWidth="1"/>
    <col min="6" max="6" width="17.44140625" customWidth="1"/>
    <col min="8" max="8" width="20.44140625" customWidth="1"/>
    <col min="13" max="13" width="10.6640625" customWidth="1"/>
    <col min="15" max="15" width="10.6640625" customWidth="1"/>
  </cols>
  <sheetData>
    <row r="1" spans="1:16" ht="18" x14ac:dyDescent="0.35">
      <c r="A1" s="66" t="s">
        <v>0</v>
      </c>
      <c r="B1" s="66"/>
      <c r="C1" s="66"/>
      <c r="D1" s="66"/>
      <c r="E1" s="66"/>
      <c r="F1" s="66"/>
      <c r="G1" s="66"/>
      <c r="H1" s="1"/>
      <c r="I1" s="2"/>
      <c r="J1" s="1"/>
      <c r="K1" s="1"/>
      <c r="L1" s="1"/>
      <c r="M1" s="1"/>
      <c r="N1" s="1"/>
      <c r="O1" s="1"/>
      <c r="P1" s="1"/>
    </row>
    <row r="2" spans="1:16" ht="15.6" x14ac:dyDescent="0.3">
      <c r="A2" s="3"/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</row>
    <row r="3" spans="1:16" ht="15.6" x14ac:dyDescent="0.3">
      <c r="A3" s="3"/>
      <c r="B3" s="5" t="s">
        <v>1</v>
      </c>
      <c r="C3" s="6" t="s">
        <v>43</v>
      </c>
      <c r="D3" s="7"/>
      <c r="E3" s="3"/>
      <c r="F3" s="5" t="s">
        <v>2</v>
      </c>
      <c r="G3" s="8">
        <v>4355</v>
      </c>
      <c r="H3" s="5" t="s">
        <v>41</v>
      </c>
      <c r="I3" s="36">
        <v>49</v>
      </c>
      <c r="J3" s="3"/>
      <c r="K3" s="3"/>
      <c r="L3" s="3"/>
      <c r="M3" s="3"/>
      <c r="N3" s="3"/>
      <c r="O3" s="3"/>
      <c r="P3" s="3"/>
    </row>
    <row r="4" spans="1:16" ht="15.6" x14ac:dyDescent="0.3">
      <c r="A4" s="3"/>
      <c r="B4" s="5" t="s">
        <v>3</v>
      </c>
      <c r="C4" s="37">
        <v>300155</v>
      </c>
      <c r="D4" s="7"/>
      <c r="E4" s="3"/>
      <c r="F4" s="5" t="s">
        <v>4</v>
      </c>
      <c r="G4" s="8">
        <f>J16+'5-30-22'!G4</f>
        <v>1161.75</v>
      </c>
      <c r="H4" s="34" t="s">
        <v>42</v>
      </c>
      <c r="I4" s="4">
        <v>16</v>
      </c>
      <c r="J4" s="3"/>
      <c r="K4" s="3"/>
      <c r="L4" s="3"/>
      <c r="M4" s="3"/>
      <c r="N4" s="3"/>
      <c r="O4" s="3"/>
      <c r="P4" s="3"/>
    </row>
    <row r="5" spans="1:16" ht="15.6" x14ac:dyDescent="0.3">
      <c r="A5" s="3"/>
      <c r="B5" s="5" t="s">
        <v>5</v>
      </c>
      <c r="C5" s="38">
        <v>44712</v>
      </c>
      <c r="D5" s="3"/>
      <c r="E5" s="3"/>
      <c r="F5" s="3"/>
      <c r="G5" s="3"/>
      <c r="H5" s="3"/>
      <c r="I5" s="4"/>
      <c r="J5" s="3"/>
      <c r="K5" s="3"/>
      <c r="L5" s="3"/>
      <c r="M5" s="3"/>
      <c r="N5" s="3"/>
      <c r="O5" s="3"/>
      <c r="P5" s="3"/>
    </row>
    <row r="6" spans="1:16" ht="15.6" x14ac:dyDescent="0.3">
      <c r="A6" s="3"/>
      <c r="B6" s="5"/>
      <c r="C6" s="3"/>
      <c r="D6" s="3"/>
      <c r="E6" s="3"/>
      <c r="F6" s="3"/>
      <c r="G6" s="3"/>
      <c r="H6" s="3"/>
      <c r="I6" s="4"/>
      <c r="J6" s="3"/>
      <c r="K6" s="3"/>
      <c r="L6" s="3"/>
      <c r="M6" s="3"/>
      <c r="N6" s="3"/>
      <c r="O6" s="3"/>
      <c r="P6" s="3"/>
    </row>
    <row r="7" spans="1:16" ht="15.6" x14ac:dyDescent="0.3">
      <c r="A7" s="10" t="s">
        <v>6</v>
      </c>
      <c r="B7" s="11"/>
      <c r="C7" s="12" t="s">
        <v>7</v>
      </c>
      <c r="D7" s="3"/>
      <c r="E7" s="12" t="s">
        <v>8</v>
      </c>
      <c r="F7" s="12" t="s">
        <v>34</v>
      </c>
      <c r="G7" s="3"/>
      <c r="H7" s="67" t="s">
        <v>7</v>
      </c>
      <c r="I7" s="67"/>
      <c r="J7" s="12" t="s">
        <v>8</v>
      </c>
      <c r="K7" s="3"/>
      <c r="L7" s="3"/>
      <c r="M7" s="3"/>
      <c r="N7" s="3"/>
      <c r="O7" s="3"/>
      <c r="P7" s="3"/>
    </row>
    <row r="8" spans="1:16" ht="15.6" x14ac:dyDescent="0.3">
      <c r="A8" s="13">
        <v>1</v>
      </c>
      <c r="B8" s="5" t="s">
        <v>9</v>
      </c>
      <c r="C8" s="14" t="s">
        <v>35</v>
      </c>
      <c r="D8" s="15"/>
      <c r="E8" s="35">
        <v>10</v>
      </c>
      <c r="F8" s="16">
        <v>66</v>
      </c>
      <c r="G8" s="11">
        <v>9</v>
      </c>
      <c r="H8" s="14" t="s">
        <v>40</v>
      </c>
      <c r="I8" s="8"/>
      <c r="J8" s="35">
        <v>10</v>
      </c>
      <c r="K8" s="3"/>
      <c r="L8" s="3"/>
      <c r="M8" s="3"/>
      <c r="N8" s="3"/>
      <c r="O8" s="3"/>
      <c r="P8" s="3"/>
    </row>
    <row r="9" spans="1:16" ht="15.6" x14ac:dyDescent="0.3">
      <c r="A9" s="13">
        <v>2</v>
      </c>
      <c r="B9" s="5" t="s">
        <v>10</v>
      </c>
      <c r="C9" s="14" t="s">
        <v>37</v>
      </c>
      <c r="D9" s="8"/>
      <c r="E9" s="35">
        <v>10</v>
      </c>
      <c r="F9" s="16"/>
      <c r="G9" s="11">
        <v>10</v>
      </c>
      <c r="H9" s="14"/>
      <c r="I9" s="8"/>
      <c r="J9" s="39"/>
      <c r="K9" s="3"/>
      <c r="L9" s="3"/>
      <c r="M9" s="3"/>
      <c r="N9" s="3"/>
      <c r="O9" s="3"/>
      <c r="P9" s="3"/>
    </row>
    <row r="10" spans="1:16" ht="15.6" x14ac:dyDescent="0.3">
      <c r="A10" s="13">
        <v>3</v>
      </c>
      <c r="B10" s="5" t="s">
        <v>11</v>
      </c>
      <c r="C10" s="14" t="s">
        <v>36</v>
      </c>
      <c r="D10" s="8"/>
      <c r="E10" s="35">
        <v>10</v>
      </c>
      <c r="F10" s="16">
        <v>78</v>
      </c>
      <c r="G10" s="11">
        <v>11</v>
      </c>
      <c r="H10" s="3"/>
      <c r="I10" s="8"/>
      <c r="J10" s="39"/>
      <c r="K10" s="3"/>
      <c r="L10" s="3"/>
      <c r="M10" s="3"/>
      <c r="N10" s="3"/>
      <c r="O10" s="3"/>
      <c r="P10" s="3"/>
    </row>
    <row r="11" spans="1:16" ht="15.6" x14ac:dyDescent="0.3">
      <c r="A11" s="13">
        <v>4</v>
      </c>
      <c r="B11" s="5" t="s">
        <v>12</v>
      </c>
      <c r="C11" s="14" t="s">
        <v>29</v>
      </c>
      <c r="D11" s="8"/>
      <c r="E11" s="35">
        <v>10</v>
      </c>
      <c r="F11" s="16"/>
      <c r="G11" s="11">
        <v>12</v>
      </c>
      <c r="H11" s="3"/>
      <c r="I11" s="8"/>
      <c r="J11" s="39"/>
      <c r="K11" s="3"/>
      <c r="L11" s="3"/>
      <c r="M11" s="3"/>
      <c r="N11" s="3"/>
      <c r="O11" s="3"/>
      <c r="P11" s="3"/>
    </row>
    <row r="12" spans="1:16" ht="15.6" x14ac:dyDescent="0.3">
      <c r="A12" s="13">
        <v>5</v>
      </c>
      <c r="B12" s="3"/>
      <c r="C12" s="31" t="s">
        <v>30</v>
      </c>
      <c r="D12" s="8"/>
      <c r="E12" s="35">
        <v>10</v>
      </c>
      <c r="F12" s="16"/>
      <c r="G12" s="11">
        <v>13</v>
      </c>
      <c r="H12" s="3"/>
      <c r="I12" s="8"/>
      <c r="J12" s="39"/>
      <c r="K12" s="3"/>
      <c r="L12" s="3"/>
      <c r="M12" s="3"/>
      <c r="N12" s="3"/>
      <c r="O12" s="3"/>
      <c r="P12" s="3"/>
    </row>
    <row r="13" spans="1:16" ht="15.6" x14ac:dyDescent="0.3">
      <c r="A13" s="13">
        <v>6</v>
      </c>
      <c r="B13" s="3"/>
      <c r="C13" s="14" t="s">
        <v>31</v>
      </c>
      <c r="D13" s="8"/>
      <c r="E13" s="35">
        <v>10</v>
      </c>
      <c r="F13" s="16">
        <v>74</v>
      </c>
      <c r="G13" s="11">
        <v>14</v>
      </c>
      <c r="H13" s="18"/>
      <c r="I13" s="8"/>
      <c r="J13" s="39"/>
      <c r="K13" s="3"/>
      <c r="L13" s="3"/>
      <c r="M13" s="3"/>
      <c r="N13" s="3"/>
      <c r="O13" s="3"/>
      <c r="P13" s="3"/>
    </row>
    <row r="14" spans="1:16" ht="15.6" x14ac:dyDescent="0.3">
      <c r="A14" s="13">
        <v>7</v>
      </c>
      <c r="B14" s="5" t="s">
        <v>52</v>
      </c>
      <c r="C14" s="14" t="s">
        <v>39</v>
      </c>
      <c r="D14" s="8"/>
      <c r="E14" s="35">
        <v>10</v>
      </c>
      <c r="F14" s="16"/>
      <c r="G14" s="11">
        <v>15</v>
      </c>
      <c r="H14" s="3"/>
      <c r="I14" s="8"/>
      <c r="J14" s="39"/>
      <c r="K14" s="3"/>
      <c r="L14" s="3"/>
      <c r="M14" s="3"/>
      <c r="N14" s="3"/>
      <c r="O14" s="3"/>
      <c r="P14" s="3"/>
    </row>
    <row r="15" spans="1:16" ht="15.6" x14ac:dyDescent="0.3">
      <c r="A15" s="13">
        <v>8</v>
      </c>
      <c r="B15" s="3"/>
      <c r="C15" s="14" t="s">
        <v>38</v>
      </c>
      <c r="D15" s="8"/>
      <c r="E15" s="35">
        <v>10</v>
      </c>
      <c r="F15" s="16"/>
      <c r="G15" s="11">
        <v>16</v>
      </c>
      <c r="H15" s="3"/>
      <c r="I15" s="8"/>
      <c r="J15" s="39"/>
      <c r="K15" s="3"/>
      <c r="L15" s="3"/>
      <c r="M15" s="3"/>
      <c r="N15" s="3"/>
      <c r="O15" s="3"/>
      <c r="P15" s="3"/>
    </row>
    <row r="16" spans="1:16" ht="15.6" x14ac:dyDescent="0.3">
      <c r="A16" s="3"/>
      <c r="B16" s="3"/>
      <c r="C16" s="3"/>
      <c r="D16" s="3"/>
      <c r="E16" s="3"/>
      <c r="F16" s="3"/>
      <c r="G16" s="13"/>
      <c r="H16" s="7" t="s">
        <v>13</v>
      </c>
      <c r="I16" s="3"/>
      <c r="J16" s="8">
        <f>SUM(E8:E15)+SUM(J8:J15)</f>
        <v>90</v>
      </c>
      <c r="K16" s="3"/>
      <c r="L16" s="3"/>
      <c r="M16" s="3"/>
      <c r="N16" s="3"/>
      <c r="O16" s="3"/>
      <c r="P16" s="3"/>
    </row>
    <row r="17" spans="1:16" ht="15.6" x14ac:dyDescent="0.3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  <c r="L17" s="3"/>
      <c r="M17" s="3"/>
      <c r="N17" s="3"/>
      <c r="O17" s="3"/>
      <c r="P17" s="3"/>
    </row>
    <row r="18" spans="1:16" ht="93.6" x14ac:dyDescent="0.3">
      <c r="A18" s="19"/>
      <c r="B18" s="20" t="s">
        <v>14</v>
      </c>
      <c r="C18" s="21" t="s">
        <v>15</v>
      </c>
      <c r="D18" s="22" t="s">
        <v>16</v>
      </c>
      <c r="E18" s="22" t="s">
        <v>17</v>
      </c>
      <c r="F18" s="22" t="s">
        <v>18</v>
      </c>
      <c r="G18" s="22" t="s">
        <v>19</v>
      </c>
      <c r="H18" s="22" t="s">
        <v>18</v>
      </c>
      <c r="I18" s="22" t="s">
        <v>19</v>
      </c>
      <c r="J18" s="22" t="s">
        <v>20</v>
      </c>
      <c r="K18" s="23" t="s">
        <v>21</v>
      </c>
      <c r="L18" s="24"/>
      <c r="M18" s="23" t="s">
        <v>22</v>
      </c>
      <c r="N18" s="23" t="s">
        <v>23</v>
      </c>
      <c r="O18" s="23" t="s">
        <v>24</v>
      </c>
      <c r="P18" s="23" t="s">
        <v>25</v>
      </c>
    </row>
    <row r="19" spans="1:16" ht="15.6" x14ac:dyDescent="0.3">
      <c r="A19" s="19"/>
      <c r="B19" s="19"/>
      <c r="C19" s="24"/>
      <c r="D19" s="24"/>
      <c r="E19" s="24"/>
      <c r="F19" s="24"/>
      <c r="G19" s="24"/>
      <c r="H19" s="24"/>
      <c r="I19" s="24"/>
      <c r="J19" s="24"/>
      <c r="K19" s="25"/>
      <c r="L19" s="24"/>
      <c r="M19" s="3"/>
      <c r="N19" s="3"/>
      <c r="O19" s="3"/>
      <c r="P19" s="3"/>
    </row>
    <row r="20" spans="1:16" ht="15.6" x14ac:dyDescent="0.3">
      <c r="A20" s="3"/>
      <c r="B20" s="8" t="s">
        <v>26</v>
      </c>
      <c r="C20" s="8">
        <v>1</v>
      </c>
      <c r="D20" s="8">
        <v>1</v>
      </c>
      <c r="E20" s="8"/>
      <c r="F20" s="8"/>
      <c r="G20" s="35">
        <v>0</v>
      </c>
      <c r="H20" s="8"/>
      <c r="I20" s="16"/>
      <c r="J20" s="35">
        <f>F20*G20+H20*I20</f>
        <v>0</v>
      </c>
      <c r="K20" s="16" t="e">
        <f>E20/(J20)</f>
        <v>#DIV/0!</v>
      </c>
      <c r="L20" s="3"/>
      <c r="M20" s="26">
        <v>0</v>
      </c>
      <c r="N20" s="27">
        <f>M20/C20</f>
        <v>0</v>
      </c>
      <c r="O20" s="35">
        <f>J20+'5-30-22'!O20</f>
        <v>108</v>
      </c>
      <c r="P20" s="26">
        <f>M20/O20</f>
        <v>0</v>
      </c>
    </row>
    <row r="21" spans="1:16" ht="15.6" x14ac:dyDescent="0.3">
      <c r="A21" s="3"/>
      <c r="B21" s="3"/>
      <c r="C21" s="3"/>
      <c r="D21" s="3"/>
      <c r="E21" s="3"/>
      <c r="F21" s="3"/>
      <c r="G21" s="40"/>
      <c r="H21" s="3"/>
      <c r="I21" s="28"/>
      <c r="J21" s="40"/>
      <c r="K21" s="28"/>
      <c r="L21" s="3"/>
      <c r="M21" s="29"/>
      <c r="N21" s="3"/>
      <c r="O21" s="3"/>
      <c r="P21" s="3"/>
    </row>
    <row r="22" spans="1:16" ht="15.6" x14ac:dyDescent="0.3">
      <c r="A22" s="3"/>
      <c r="B22" s="8" t="s">
        <v>53</v>
      </c>
      <c r="C22" s="8">
        <v>125400</v>
      </c>
      <c r="D22" s="41"/>
      <c r="E22" s="41"/>
      <c r="F22" s="8"/>
      <c r="G22" s="35"/>
      <c r="H22" s="8"/>
      <c r="I22" s="16"/>
      <c r="J22" s="35">
        <f>F22*G22+H22*I22</f>
        <v>0</v>
      </c>
      <c r="K22" s="16" t="e">
        <f>E22/(J22)</f>
        <v>#DIV/0!</v>
      </c>
      <c r="L22" s="3"/>
      <c r="M22" s="26">
        <f>E22+'5-30-22'!M22</f>
        <v>125400</v>
      </c>
      <c r="N22" s="27">
        <f>M22/C22</f>
        <v>1</v>
      </c>
      <c r="O22" s="35">
        <f>J22+'5-30-22'!O22</f>
        <v>592.75</v>
      </c>
      <c r="P22" s="26">
        <f>M22/O22</f>
        <v>211.55630535638971</v>
      </c>
    </row>
    <row r="23" spans="1:16" ht="15.6" x14ac:dyDescent="0.3">
      <c r="A23" s="3"/>
      <c r="B23" s="3"/>
      <c r="C23" s="3"/>
      <c r="D23" s="3"/>
      <c r="E23" s="3"/>
      <c r="F23" s="3"/>
      <c r="G23" s="40"/>
      <c r="H23" s="3"/>
      <c r="I23" s="28"/>
      <c r="J23" s="40"/>
      <c r="K23" s="28"/>
      <c r="L23" s="3"/>
      <c r="M23" s="29"/>
      <c r="N23" s="3"/>
      <c r="O23" s="36"/>
      <c r="P23" s="29"/>
    </row>
    <row r="24" spans="1:16" ht="15.6" x14ac:dyDescent="0.3">
      <c r="A24" s="3"/>
      <c r="B24" s="8" t="s">
        <v>54</v>
      </c>
      <c r="C24" s="8">
        <v>125400</v>
      </c>
      <c r="D24" s="8"/>
      <c r="E24" s="8"/>
      <c r="F24" s="8">
        <v>3</v>
      </c>
      <c r="G24" s="35">
        <v>4.5</v>
      </c>
      <c r="H24" s="8"/>
      <c r="I24" s="16"/>
      <c r="J24" s="35">
        <f>F24*G24+H24*I24</f>
        <v>13.5</v>
      </c>
      <c r="K24" s="16">
        <f>E24/(J24)</f>
        <v>0</v>
      </c>
      <c r="L24" s="3"/>
      <c r="M24" s="26">
        <f>E24+'5-30-22'!M24</f>
        <v>0</v>
      </c>
      <c r="N24" s="27">
        <f>M24/C24</f>
        <v>0</v>
      </c>
      <c r="O24" s="35">
        <f>J24+'5-30-22'!O24</f>
        <v>251.75</v>
      </c>
      <c r="P24" s="26">
        <f>M24/O24</f>
        <v>0</v>
      </c>
    </row>
    <row r="25" spans="1:16" ht="15.6" x14ac:dyDescent="0.3">
      <c r="A25" s="3"/>
      <c r="B25" s="3"/>
      <c r="C25" s="3"/>
      <c r="D25" s="3"/>
      <c r="E25" s="3"/>
      <c r="F25" s="3"/>
      <c r="G25" s="36"/>
      <c r="H25" s="3"/>
      <c r="I25" s="4"/>
      <c r="J25" s="36"/>
      <c r="K25" s="4"/>
      <c r="L25" s="3"/>
      <c r="M25" s="29"/>
      <c r="N25" s="3"/>
      <c r="O25" s="3"/>
      <c r="P25" s="3"/>
    </row>
    <row r="26" spans="1:16" ht="15.6" x14ac:dyDescent="0.3">
      <c r="A26" s="3"/>
      <c r="B26" s="8" t="s">
        <v>44</v>
      </c>
      <c r="C26" s="8">
        <v>3040</v>
      </c>
      <c r="D26" s="8"/>
      <c r="E26" s="8"/>
      <c r="F26" s="8">
        <v>6</v>
      </c>
      <c r="G26" s="35">
        <v>4.5</v>
      </c>
      <c r="H26" s="8"/>
      <c r="I26" s="16"/>
      <c r="J26" s="35">
        <f>F26*G26+H26*I26</f>
        <v>27</v>
      </c>
      <c r="K26" s="16">
        <f>E26/(J26)</f>
        <v>0</v>
      </c>
      <c r="L26" s="3"/>
      <c r="M26" s="26">
        <f>E26+'5-30-22'!M26</f>
        <v>0</v>
      </c>
      <c r="N26" s="27">
        <f>M26/C26</f>
        <v>0</v>
      </c>
      <c r="O26" s="35">
        <f>J26+'5-30-22'!O26</f>
        <v>27</v>
      </c>
      <c r="P26" s="26">
        <f>M26/O26</f>
        <v>0</v>
      </c>
    </row>
    <row r="27" spans="1:16" ht="15.6" x14ac:dyDescent="0.3">
      <c r="A27" s="3"/>
      <c r="B27" s="3"/>
      <c r="C27" s="3"/>
      <c r="D27" s="3"/>
      <c r="E27" s="3"/>
      <c r="F27" s="3"/>
      <c r="G27" s="36"/>
      <c r="H27" s="3"/>
      <c r="I27" s="4"/>
      <c r="J27" s="36"/>
      <c r="K27" s="4"/>
      <c r="L27" s="3"/>
      <c r="M27" s="29"/>
      <c r="N27" s="3"/>
      <c r="O27" s="3"/>
      <c r="P27" s="3"/>
    </row>
    <row r="28" spans="1:16" ht="15.6" x14ac:dyDescent="0.3">
      <c r="A28" s="3"/>
      <c r="B28" s="8" t="s">
        <v>45</v>
      </c>
      <c r="C28" s="8">
        <v>3040</v>
      </c>
      <c r="D28" s="8"/>
      <c r="E28" s="8"/>
      <c r="F28" s="8"/>
      <c r="G28" s="35"/>
      <c r="H28" s="8"/>
      <c r="I28" s="16"/>
      <c r="J28" s="35">
        <f>F28*G28+H28*I28</f>
        <v>0</v>
      </c>
      <c r="K28" s="16" t="e">
        <f>E28/(J28)</f>
        <v>#DIV/0!</v>
      </c>
      <c r="L28" s="3"/>
      <c r="M28" s="26">
        <f>E28+'5-30-22'!M28</f>
        <v>0</v>
      </c>
      <c r="N28" s="27">
        <f>M28/C28</f>
        <v>0</v>
      </c>
      <c r="O28" s="35">
        <f>J28+'5-30-22'!O28</f>
        <v>0</v>
      </c>
      <c r="P28" s="26" t="e">
        <f>M28/O28</f>
        <v>#DIV/0!</v>
      </c>
    </row>
    <row r="29" spans="1:16" ht="15.6" x14ac:dyDescent="0.3">
      <c r="A29" s="3"/>
      <c r="B29" s="3"/>
      <c r="C29" s="3"/>
      <c r="D29" s="3"/>
      <c r="E29" s="3"/>
      <c r="F29" s="3"/>
      <c r="G29" s="36"/>
      <c r="H29" s="3"/>
      <c r="I29" s="4"/>
      <c r="J29" s="36"/>
      <c r="K29" s="4"/>
      <c r="L29" s="3"/>
      <c r="M29" s="29"/>
      <c r="N29" s="3"/>
      <c r="O29" s="3"/>
      <c r="P29" s="3"/>
    </row>
    <row r="30" spans="1:16" ht="15.6" x14ac:dyDescent="0.3">
      <c r="A30" s="3"/>
      <c r="B30" s="8" t="s">
        <v>47</v>
      </c>
      <c r="C30" s="8">
        <v>125400</v>
      </c>
      <c r="D30" s="8"/>
      <c r="E30" s="8"/>
      <c r="F30" s="8">
        <v>9</v>
      </c>
      <c r="G30" s="35">
        <v>5.5</v>
      </c>
      <c r="H30" s="8"/>
      <c r="I30" s="16"/>
      <c r="J30" s="35">
        <f>F30*G30+H30*I30</f>
        <v>49.5</v>
      </c>
      <c r="K30" s="16">
        <f>E30/(J30)</f>
        <v>0</v>
      </c>
      <c r="L30" s="3"/>
      <c r="M30" s="26">
        <f>E30+'5-30-22'!M30</f>
        <v>0</v>
      </c>
      <c r="N30" s="27">
        <f>M30/C30</f>
        <v>0</v>
      </c>
      <c r="O30" s="35">
        <f>J30+'5-30-22'!O30</f>
        <v>49.5</v>
      </c>
      <c r="P30" s="26">
        <f>M30/O30</f>
        <v>0</v>
      </c>
    </row>
    <row r="31" spans="1:16" ht="15.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7"/>
      <c r="O31" s="3"/>
      <c r="P31" s="3"/>
    </row>
    <row r="32" spans="1:16" ht="15.6" x14ac:dyDescent="0.3">
      <c r="A32" s="3"/>
      <c r="B32" s="8" t="s">
        <v>46</v>
      </c>
      <c r="C32" s="8">
        <v>324</v>
      </c>
      <c r="D32" s="8"/>
      <c r="E32" s="8"/>
      <c r="F32" s="8"/>
      <c r="G32" s="35"/>
      <c r="H32" s="8"/>
      <c r="I32" s="16"/>
      <c r="J32" s="35">
        <f>F32*G32+H32*I32</f>
        <v>0</v>
      </c>
      <c r="K32" s="16" t="e">
        <f>E32/(J32)</f>
        <v>#DIV/0!</v>
      </c>
      <c r="L32" s="3"/>
      <c r="M32" s="26">
        <f>E32+'5-30-22'!M32</f>
        <v>0</v>
      </c>
      <c r="N32" s="27">
        <f>M32/C32</f>
        <v>0</v>
      </c>
      <c r="O32" s="35">
        <f>J32+'5-30-22'!O32</f>
        <v>0</v>
      </c>
      <c r="P32" s="26" t="e">
        <f>M32/O32</f>
        <v>#DIV/0!</v>
      </c>
    </row>
    <row r="33" spans="1:16" ht="15.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7"/>
      <c r="O33" s="3"/>
      <c r="P33" s="3"/>
    </row>
    <row r="34" spans="1:16" ht="15.6" x14ac:dyDescent="0.3">
      <c r="A34" s="3"/>
      <c r="B34" s="8" t="s">
        <v>48</v>
      </c>
      <c r="C34" s="8">
        <v>115000</v>
      </c>
      <c r="D34" s="8"/>
      <c r="E34" s="8"/>
      <c r="F34" s="8"/>
      <c r="G34" s="35"/>
      <c r="H34" s="8"/>
      <c r="I34" s="16"/>
      <c r="J34" s="35">
        <f>F34*G34+H34*I34</f>
        <v>0</v>
      </c>
      <c r="K34" s="16" t="e">
        <f>E34/(J34)</f>
        <v>#DIV/0!</v>
      </c>
      <c r="L34" s="3"/>
      <c r="M34" s="26">
        <f>E34+'5-30-22'!M34</f>
        <v>0</v>
      </c>
      <c r="N34" s="27">
        <f>M34/C34</f>
        <v>0</v>
      </c>
      <c r="O34" s="35">
        <f>J34+'5-30-22'!O34</f>
        <v>0</v>
      </c>
      <c r="P34" s="26" t="e">
        <f>M34/O34</f>
        <v>#DIV/0!</v>
      </c>
    </row>
    <row r="35" spans="1:16" ht="15.6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27"/>
      <c r="O35" s="3"/>
      <c r="P35" s="3"/>
    </row>
    <row r="36" spans="1:16" ht="15.6" x14ac:dyDescent="0.3">
      <c r="A36" s="3"/>
      <c r="B36" s="8" t="s">
        <v>49</v>
      </c>
      <c r="C36" s="8">
        <v>8</v>
      </c>
      <c r="D36" s="8"/>
      <c r="E36" s="8"/>
      <c r="F36" s="8"/>
      <c r="G36" s="35"/>
      <c r="H36" s="8"/>
      <c r="I36" s="16"/>
      <c r="J36" s="35">
        <f>F36*G36+H36*I36</f>
        <v>0</v>
      </c>
      <c r="K36" s="16" t="e">
        <f>E36/(J36)</f>
        <v>#DIV/0!</v>
      </c>
      <c r="L36" s="3"/>
      <c r="M36" s="26">
        <f>E36+'5-30-22'!M36</f>
        <v>0</v>
      </c>
      <c r="N36" s="27">
        <f>M36/C36</f>
        <v>0</v>
      </c>
      <c r="O36" s="35">
        <f>J36+'5-30-22'!O36</f>
        <v>0</v>
      </c>
      <c r="P36" s="26" t="e">
        <f>M36/O36</f>
        <v>#DIV/0!</v>
      </c>
    </row>
    <row r="37" spans="1:16" ht="15.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27"/>
      <c r="O37" s="3"/>
      <c r="P37" s="3"/>
    </row>
    <row r="38" spans="1:16" ht="15.6" x14ac:dyDescent="0.3">
      <c r="A38" s="3"/>
      <c r="B38" s="8" t="s">
        <v>50</v>
      </c>
      <c r="C38" s="8">
        <f>2760+480</f>
        <v>3240</v>
      </c>
      <c r="D38" s="8"/>
      <c r="E38" s="8"/>
      <c r="F38" s="8"/>
      <c r="G38" s="35"/>
      <c r="H38" s="8"/>
      <c r="I38" s="16"/>
      <c r="J38" s="35">
        <f>F38*G38+H38*I38</f>
        <v>0</v>
      </c>
      <c r="K38" s="16" t="e">
        <f>E38/(J38)</f>
        <v>#DIV/0!</v>
      </c>
      <c r="L38" s="3"/>
      <c r="M38" s="26">
        <f>E38+'5-30-22'!M38</f>
        <v>555</v>
      </c>
      <c r="N38" s="27">
        <f>M38/C38</f>
        <v>0.17129629629629631</v>
      </c>
      <c r="O38" s="35">
        <f>J38+'5-30-22'!O38</f>
        <v>9</v>
      </c>
      <c r="P38" s="26">
        <f>M38/O38</f>
        <v>61.666666666666664</v>
      </c>
    </row>
    <row r="39" spans="1:16" ht="15.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7"/>
      <c r="O39" s="3"/>
      <c r="P39" s="3"/>
    </row>
    <row r="40" spans="1:16" ht="15.6" x14ac:dyDescent="0.3">
      <c r="A40" s="3"/>
      <c r="B40" s="8" t="s">
        <v>51</v>
      </c>
      <c r="C40" s="8">
        <v>25</v>
      </c>
      <c r="D40" s="8"/>
      <c r="E40" s="8"/>
      <c r="F40" s="8"/>
      <c r="G40" s="35"/>
      <c r="H40" s="8"/>
      <c r="I40" s="16"/>
      <c r="J40" s="35">
        <f>F40*G40+H40*I40</f>
        <v>0</v>
      </c>
      <c r="K40" s="16" t="e">
        <f>E40/(J40)</f>
        <v>#DIV/0!</v>
      </c>
      <c r="L40" s="3"/>
      <c r="M40" s="26">
        <f>E40+'5-30-22'!M40</f>
        <v>0</v>
      </c>
      <c r="N40" s="27">
        <f>M40/C40</f>
        <v>0</v>
      </c>
      <c r="O40" s="35">
        <f>J40+'5-30-22'!O40</f>
        <v>0</v>
      </c>
      <c r="P40" s="26" t="e">
        <f>M40/O40</f>
        <v>#DIV/0!</v>
      </c>
    </row>
    <row r="41" spans="1:16" ht="15.6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27"/>
      <c r="O41" s="3"/>
      <c r="P41" s="3"/>
    </row>
    <row r="42" spans="1:16" ht="15.6" x14ac:dyDescent="0.3">
      <c r="A42" s="3"/>
      <c r="B42" s="8" t="s">
        <v>75</v>
      </c>
      <c r="C42" s="8"/>
      <c r="D42" s="8"/>
      <c r="E42" s="8"/>
      <c r="F42" s="8"/>
      <c r="G42" s="35"/>
      <c r="H42" s="8"/>
      <c r="I42" s="16"/>
      <c r="J42" s="35">
        <f>F42*G42+H42*I42</f>
        <v>0</v>
      </c>
      <c r="K42" s="16" t="e">
        <f>E42/(J42)</f>
        <v>#DIV/0!</v>
      </c>
      <c r="L42" s="3"/>
      <c r="M42" s="26">
        <f>E42+'5-30-22'!M42</f>
        <v>0</v>
      </c>
      <c r="N42" s="27" t="e">
        <f>M42/C42</f>
        <v>#DIV/0!</v>
      </c>
      <c r="O42" s="35">
        <f>J42+'5-30-22'!O42</f>
        <v>123.75</v>
      </c>
      <c r="P42" s="26">
        <f>M42/O42</f>
        <v>0</v>
      </c>
    </row>
    <row r="43" spans="1:16" ht="15.6" x14ac:dyDescent="0.3">
      <c r="A43" s="3"/>
      <c r="B43" s="3" t="s">
        <v>27</v>
      </c>
      <c r="C43" s="3"/>
      <c r="D43" s="3"/>
      <c r="E43" s="3"/>
      <c r="F43" s="3"/>
      <c r="G43" s="3"/>
      <c r="H43" s="30"/>
      <c r="I43" s="4"/>
      <c r="J43" s="3">
        <f>J20+J22+J24+J26+J28+J30+J32+J34+J36+J38+J40+J42</f>
        <v>90</v>
      </c>
      <c r="K43" s="3"/>
      <c r="L43" s="3"/>
      <c r="M43" s="3"/>
      <c r="N43" s="3"/>
      <c r="O43" s="3">
        <f>O20+O22+O24+O26+O28+O30+O32+O34+O36+O38+O40+O42</f>
        <v>1161.75</v>
      </c>
      <c r="P43" s="3"/>
    </row>
    <row r="44" spans="1:16" ht="15.6" x14ac:dyDescent="0.3">
      <c r="A44" s="3"/>
      <c r="B44" s="3"/>
      <c r="C44" s="3"/>
      <c r="D44" s="3"/>
      <c r="E44" s="3"/>
      <c r="F44" s="3"/>
      <c r="G44" s="3"/>
      <c r="H44" s="3"/>
      <c r="I44" s="4"/>
      <c r="J44" s="3"/>
      <c r="K44" s="3"/>
      <c r="L44" s="3"/>
      <c r="M44" s="3"/>
      <c r="N44" s="3"/>
      <c r="O44" s="3"/>
      <c r="P44" s="3"/>
    </row>
    <row r="45" spans="1:16" ht="15.6" x14ac:dyDescent="0.3">
      <c r="A45" s="3"/>
      <c r="B45" s="3" t="s">
        <v>28</v>
      </c>
      <c r="C45" s="3" t="s">
        <v>103</v>
      </c>
      <c r="D45" s="3"/>
      <c r="E45" s="3"/>
      <c r="F45" s="3"/>
      <c r="G45" s="3"/>
      <c r="H45" s="3"/>
      <c r="I45" s="4"/>
      <c r="J45" s="3"/>
      <c r="K45" s="3"/>
      <c r="L45" s="3"/>
      <c r="M45" s="3"/>
      <c r="N45" s="3"/>
      <c r="O45" s="3"/>
      <c r="P45" s="3"/>
    </row>
    <row r="46" spans="1:16" ht="15.6" x14ac:dyDescent="0.3">
      <c r="C46" s="33" t="s">
        <v>100</v>
      </c>
    </row>
    <row r="47" spans="1:16" ht="15.6" x14ac:dyDescent="0.3">
      <c r="B47" s="3" t="s">
        <v>32</v>
      </c>
      <c r="C47" s="33" t="s">
        <v>101</v>
      </c>
    </row>
    <row r="48" spans="1:16" ht="15.6" x14ac:dyDescent="0.3">
      <c r="C48" s="33"/>
    </row>
    <row r="49" spans="2:3" ht="15.6" x14ac:dyDescent="0.3">
      <c r="B49" s="3" t="s">
        <v>33</v>
      </c>
      <c r="C49" s="3" t="s">
        <v>102</v>
      </c>
    </row>
  </sheetData>
  <mergeCells count="2">
    <mergeCell ref="A1:G1"/>
    <mergeCell ref="H7:I7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D1FC9-12A4-4CE4-9CF4-BE2500F441B6}">
  <dimension ref="A1:P49"/>
  <sheetViews>
    <sheetView topLeftCell="A19" zoomScale="85" zoomScaleNormal="85" workbookViewId="0">
      <selection activeCell="M22" sqref="M22"/>
    </sheetView>
  </sheetViews>
  <sheetFormatPr defaultRowHeight="14.4" x14ac:dyDescent="0.3"/>
  <cols>
    <col min="1" max="1" width="11.33203125" customWidth="1"/>
    <col min="2" max="2" width="29.33203125" customWidth="1"/>
    <col min="3" max="3" width="22.109375" customWidth="1"/>
    <col min="4" max="4" width="14.88671875" customWidth="1"/>
    <col min="5" max="5" width="16.6640625" customWidth="1"/>
    <col min="6" max="6" width="17.44140625" customWidth="1"/>
    <col min="8" max="8" width="20.44140625" customWidth="1"/>
    <col min="13" max="13" width="10.6640625" customWidth="1"/>
    <col min="15" max="15" width="10.6640625" customWidth="1"/>
  </cols>
  <sheetData>
    <row r="1" spans="1:16" ht="18" x14ac:dyDescent="0.35">
      <c r="A1" s="66" t="s">
        <v>0</v>
      </c>
      <c r="B1" s="66"/>
      <c r="C1" s="66"/>
      <c r="D1" s="66"/>
      <c r="E1" s="66"/>
      <c r="F1" s="66"/>
      <c r="G1" s="66"/>
      <c r="H1" s="1"/>
      <c r="I1" s="2"/>
      <c r="J1" s="1"/>
      <c r="K1" s="1"/>
      <c r="L1" s="1"/>
      <c r="M1" s="1"/>
      <c r="N1" s="1"/>
      <c r="O1" s="1"/>
      <c r="P1" s="1"/>
    </row>
    <row r="2" spans="1:16" ht="15.6" x14ac:dyDescent="0.3">
      <c r="A2" s="3"/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</row>
    <row r="3" spans="1:16" ht="15.6" x14ac:dyDescent="0.3">
      <c r="A3" s="3"/>
      <c r="B3" s="5" t="s">
        <v>1</v>
      </c>
      <c r="C3" s="6" t="s">
        <v>43</v>
      </c>
      <c r="D3" s="7"/>
      <c r="E3" s="3"/>
      <c r="F3" s="5" t="s">
        <v>2</v>
      </c>
      <c r="G3" s="8">
        <v>4355</v>
      </c>
      <c r="H3" s="5" t="s">
        <v>41</v>
      </c>
      <c r="I3" s="36">
        <v>49</v>
      </c>
      <c r="J3" s="3"/>
      <c r="K3" s="3"/>
      <c r="L3" s="3"/>
      <c r="M3" s="3"/>
      <c r="N3" s="3"/>
      <c r="O3" s="3"/>
      <c r="P3" s="3"/>
    </row>
    <row r="4" spans="1:16" ht="15.6" x14ac:dyDescent="0.3">
      <c r="A4" s="3"/>
      <c r="B4" s="5" t="s">
        <v>3</v>
      </c>
      <c r="C4" s="37">
        <v>300155</v>
      </c>
      <c r="D4" s="7"/>
      <c r="E4" s="3"/>
      <c r="F4" s="5" t="s">
        <v>4</v>
      </c>
      <c r="G4" s="8">
        <f>J16+'5-29-22'!G4</f>
        <v>1071.75</v>
      </c>
      <c r="H4" s="34" t="s">
        <v>42</v>
      </c>
      <c r="I4" s="4">
        <v>15</v>
      </c>
      <c r="J4" s="3"/>
      <c r="K4" s="3"/>
      <c r="L4" s="3"/>
      <c r="M4" s="3"/>
      <c r="N4" s="3"/>
      <c r="O4" s="3"/>
      <c r="P4" s="3"/>
    </row>
    <row r="5" spans="1:16" ht="15.6" x14ac:dyDescent="0.3">
      <c r="A5" s="3"/>
      <c r="B5" s="5" t="s">
        <v>5</v>
      </c>
      <c r="C5" s="38">
        <v>44711</v>
      </c>
      <c r="D5" s="3"/>
      <c r="E5" s="3"/>
      <c r="F5" s="3"/>
      <c r="G5" s="3"/>
      <c r="H5" s="3"/>
      <c r="I5" s="4"/>
      <c r="J5" s="3"/>
      <c r="K5" s="3"/>
      <c r="L5" s="3"/>
      <c r="M5" s="3"/>
      <c r="N5" s="3"/>
      <c r="O5" s="3"/>
      <c r="P5" s="3"/>
    </row>
    <row r="6" spans="1:16" ht="15.6" x14ac:dyDescent="0.3">
      <c r="A6" s="3"/>
      <c r="B6" s="5"/>
      <c r="C6" s="3"/>
      <c r="D6" s="3"/>
      <c r="E6" s="3"/>
      <c r="F6" s="3"/>
      <c r="G6" s="3"/>
      <c r="H6" s="3"/>
      <c r="I6" s="4"/>
      <c r="J6" s="3"/>
      <c r="K6" s="3"/>
      <c r="L6" s="3"/>
      <c r="M6" s="3"/>
      <c r="N6" s="3"/>
      <c r="O6" s="3"/>
      <c r="P6" s="3"/>
    </row>
    <row r="7" spans="1:16" ht="15.6" x14ac:dyDescent="0.3">
      <c r="A7" s="10" t="s">
        <v>6</v>
      </c>
      <c r="B7" s="11"/>
      <c r="C7" s="12" t="s">
        <v>7</v>
      </c>
      <c r="D7" s="3"/>
      <c r="E7" s="12" t="s">
        <v>8</v>
      </c>
      <c r="F7" s="12" t="s">
        <v>34</v>
      </c>
      <c r="G7" s="3"/>
      <c r="H7" s="67" t="s">
        <v>7</v>
      </c>
      <c r="I7" s="67"/>
      <c r="J7" s="12" t="s">
        <v>8</v>
      </c>
      <c r="K7" s="3"/>
      <c r="L7" s="3"/>
      <c r="M7" s="3"/>
      <c r="N7" s="3"/>
      <c r="O7" s="3"/>
      <c r="P7" s="3"/>
    </row>
    <row r="8" spans="1:16" ht="15.6" x14ac:dyDescent="0.3">
      <c r="A8" s="13">
        <v>1</v>
      </c>
      <c r="B8" s="5" t="s">
        <v>9</v>
      </c>
      <c r="C8" s="14" t="s">
        <v>35</v>
      </c>
      <c r="D8" s="15"/>
      <c r="E8" s="35">
        <v>6</v>
      </c>
      <c r="F8" s="16">
        <v>66</v>
      </c>
      <c r="G8" s="11">
        <v>9</v>
      </c>
      <c r="H8" s="14" t="s">
        <v>40</v>
      </c>
      <c r="I8" s="8"/>
      <c r="J8" s="39">
        <v>6</v>
      </c>
      <c r="K8" s="3"/>
      <c r="L8" s="3"/>
      <c r="M8" s="3"/>
      <c r="N8" s="3"/>
      <c r="O8" s="3"/>
      <c r="P8" s="3"/>
    </row>
    <row r="9" spans="1:16" ht="15.6" x14ac:dyDescent="0.3">
      <c r="A9" s="13">
        <v>2</v>
      </c>
      <c r="B9" s="5" t="s">
        <v>10</v>
      </c>
      <c r="C9" s="14" t="s">
        <v>37</v>
      </c>
      <c r="D9" s="8"/>
      <c r="E9" s="35">
        <v>6</v>
      </c>
      <c r="F9" s="16"/>
      <c r="G9" s="11">
        <v>10</v>
      </c>
      <c r="H9" s="14"/>
      <c r="I9" s="8"/>
      <c r="J9" s="39"/>
      <c r="K9" s="3"/>
      <c r="L9" s="3"/>
      <c r="M9" s="3"/>
      <c r="N9" s="3"/>
      <c r="O9" s="3"/>
      <c r="P9" s="3"/>
    </row>
    <row r="10" spans="1:16" ht="15.6" x14ac:dyDescent="0.3">
      <c r="A10" s="13">
        <v>3</v>
      </c>
      <c r="B10" s="5" t="s">
        <v>11</v>
      </c>
      <c r="C10" s="14" t="s">
        <v>36</v>
      </c>
      <c r="D10" s="8"/>
      <c r="E10" s="35">
        <v>6</v>
      </c>
      <c r="F10" s="16">
        <v>78</v>
      </c>
      <c r="G10" s="11">
        <v>11</v>
      </c>
      <c r="H10" s="3"/>
      <c r="I10" s="8"/>
      <c r="J10" s="39"/>
      <c r="K10" s="3"/>
      <c r="L10" s="3"/>
      <c r="M10" s="3"/>
      <c r="N10" s="3"/>
      <c r="O10" s="3"/>
      <c r="P10" s="3"/>
    </row>
    <row r="11" spans="1:16" ht="15.6" x14ac:dyDescent="0.3">
      <c r="A11" s="13">
        <v>4</v>
      </c>
      <c r="B11" s="5" t="s">
        <v>12</v>
      </c>
      <c r="C11" s="14" t="s">
        <v>29</v>
      </c>
      <c r="D11" s="8"/>
      <c r="E11" s="35">
        <v>6</v>
      </c>
      <c r="F11" s="16"/>
      <c r="G11" s="11">
        <v>12</v>
      </c>
      <c r="H11" s="3"/>
      <c r="I11" s="8"/>
      <c r="J11" s="39"/>
      <c r="K11" s="3"/>
      <c r="L11" s="3"/>
      <c r="M11" s="3"/>
      <c r="N11" s="3"/>
      <c r="O11" s="3"/>
      <c r="P11" s="3"/>
    </row>
    <row r="12" spans="1:16" ht="15.6" x14ac:dyDescent="0.3">
      <c r="A12" s="13">
        <v>5</v>
      </c>
      <c r="B12" s="3"/>
      <c r="C12" s="31" t="s">
        <v>30</v>
      </c>
      <c r="D12" s="8"/>
      <c r="E12" s="35">
        <v>6</v>
      </c>
      <c r="F12" s="16"/>
      <c r="G12" s="11">
        <v>13</v>
      </c>
      <c r="H12" s="3"/>
      <c r="I12" s="8"/>
      <c r="J12" s="39"/>
      <c r="K12" s="3"/>
      <c r="L12" s="3"/>
      <c r="M12" s="3"/>
      <c r="N12" s="3"/>
      <c r="O12" s="3"/>
      <c r="P12" s="3"/>
    </row>
    <row r="13" spans="1:16" ht="15.6" x14ac:dyDescent="0.3">
      <c r="A13" s="13">
        <v>6</v>
      </c>
      <c r="B13" s="3"/>
      <c r="C13" s="14" t="s">
        <v>31</v>
      </c>
      <c r="D13" s="8"/>
      <c r="E13" s="35">
        <v>6</v>
      </c>
      <c r="F13" s="16">
        <v>74</v>
      </c>
      <c r="G13" s="11">
        <v>14</v>
      </c>
      <c r="H13" s="18"/>
      <c r="I13" s="8"/>
      <c r="J13" s="39"/>
      <c r="K13" s="3"/>
      <c r="L13" s="3"/>
      <c r="M13" s="3"/>
      <c r="N13" s="3"/>
      <c r="O13" s="3"/>
      <c r="P13" s="3"/>
    </row>
    <row r="14" spans="1:16" ht="15.6" x14ac:dyDescent="0.3">
      <c r="A14" s="13">
        <v>7</v>
      </c>
      <c r="B14" s="5" t="s">
        <v>52</v>
      </c>
      <c r="C14" s="14" t="s">
        <v>39</v>
      </c>
      <c r="D14" s="8"/>
      <c r="E14" s="35">
        <v>6</v>
      </c>
      <c r="F14" s="16"/>
      <c r="G14" s="11">
        <v>15</v>
      </c>
      <c r="H14" s="3"/>
      <c r="I14" s="8"/>
      <c r="J14" s="39"/>
      <c r="K14" s="3"/>
      <c r="L14" s="3"/>
      <c r="M14" s="3"/>
      <c r="N14" s="3"/>
      <c r="O14" s="3"/>
      <c r="P14" s="3"/>
    </row>
    <row r="15" spans="1:16" ht="15.6" x14ac:dyDescent="0.3">
      <c r="A15" s="13">
        <v>8</v>
      </c>
      <c r="B15" s="3"/>
      <c r="C15" s="14" t="s">
        <v>38</v>
      </c>
      <c r="D15" s="8"/>
      <c r="E15" s="35">
        <v>6</v>
      </c>
      <c r="F15" s="16"/>
      <c r="G15" s="11">
        <v>16</v>
      </c>
      <c r="H15" s="3"/>
      <c r="I15" s="8"/>
      <c r="J15" s="39"/>
      <c r="K15" s="3"/>
      <c r="L15" s="3"/>
      <c r="M15" s="3"/>
      <c r="N15" s="3"/>
      <c r="O15" s="3"/>
      <c r="P15" s="3"/>
    </row>
    <row r="16" spans="1:16" ht="15.6" x14ac:dyDescent="0.3">
      <c r="A16" s="3"/>
      <c r="B16" s="3"/>
      <c r="C16" s="3"/>
      <c r="D16" s="3"/>
      <c r="E16" s="3"/>
      <c r="F16" s="3"/>
      <c r="G16" s="13"/>
      <c r="H16" s="7" t="s">
        <v>13</v>
      </c>
      <c r="I16" s="3"/>
      <c r="J16" s="8">
        <f>SUM(E8:E15)+SUM(J8:J15)</f>
        <v>54</v>
      </c>
      <c r="K16" s="3"/>
      <c r="L16" s="3"/>
      <c r="M16" s="3"/>
      <c r="N16" s="3"/>
      <c r="O16" s="3"/>
      <c r="P16" s="3"/>
    </row>
    <row r="17" spans="1:16" ht="15.6" x14ac:dyDescent="0.3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  <c r="L17" s="3"/>
      <c r="M17" s="3"/>
      <c r="N17" s="3"/>
      <c r="O17" s="3"/>
      <c r="P17" s="3"/>
    </row>
    <row r="18" spans="1:16" ht="93.6" x14ac:dyDescent="0.3">
      <c r="A18" s="19"/>
      <c r="B18" s="20" t="s">
        <v>14</v>
      </c>
      <c r="C18" s="21" t="s">
        <v>15</v>
      </c>
      <c r="D18" s="22" t="s">
        <v>16</v>
      </c>
      <c r="E18" s="22" t="s">
        <v>17</v>
      </c>
      <c r="F18" s="22" t="s">
        <v>18</v>
      </c>
      <c r="G18" s="22" t="s">
        <v>19</v>
      </c>
      <c r="H18" s="22" t="s">
        <v>18</v>
      </c>
      <c r="I18" s="22" t="s">
        <v>19</v>
      </c>
      <c r="J18" s="22" t="s">
        <v>20</v>
      </c>
      <c r="K18" s="23" t="s">
        <v>21</v>
      </c>
      <c r="L18" s="24"/>
      <c r="M18" s="23" t="s">
        <v>22</v>
      </c>
      <c r="N18" s="23" t="s">
        <v>23</v>
      </c>
      <c r="O18" s="23" t="s">
        <v>24</v>
      </c>
      <c r="P18" s="23" t="s">
        <v>25</v>
      </c>
    </row>
    <row r="19" spans="1:16" ht="15.6" x14ac:dyDescent="0.3">
      <c r="A19" s="19"/>
      <c r="B19" s="19"/>
      <c r="C19" s="24"/>
      <c r="D19" s="24"/>
      <c r="E19" s="24"/>
      <c r="F19" s="24"/>
      <c r="G19" s="24"/>
      <c r="H19" s="24"/>
      <c r="I19" s="24"/>
      <c r="J19" s="24"/>
      <c r="K19" s="25"/>
      <c r="L19" s="24"/>
      <c r="M19" s="3"/>
      <c r="N19" s="3"/>
      <c r="O19" s="3"/>
      <c r="P19" s="3"/>
    </row>
    <row r="20" spans="1:16" ht="15.6" x14ac:dyDescent="0.3">
      <c r="A20" s="3"/>
      <c r="B20" s="8" t="s">
        <v>26</v>
      </c>
      <c r="C20" s="8">
        <v>1</v>
      </c>
      <c r="D20" s="8">
        <v>1</v>
      </c>
      <c r="E20" s="8"/>
      <c r="F20" s="8"/>
      <c r="G20" s="35">
        <v>0</v>
      </c>
      <c r="H20" s="8"/>
      <c r="I20" s="16"/>
      <c r="J20" s="35">
        <f>F20*G20+H20*I20</f>
        <v>0</v>
      </c>
      <c r="K20" s="16" t="e">
        <f>E20/(J20)</f>
        <v>#DIV/0!</v>
      </c>
      <c r="L20" s="3"/>
      <c r="M20" s="26">
        <v>0</v>
      </c>
      <c r="N20" s="27">
        <f>M20/C20</f>
        <v>0</v>
      </c>
      <c r="O20" s="35">
        <f>J20+'5-29-22'!O20</f>
        <v>108</v>
      </c>
      <c r="P20" s="26">
        <f>M20/O20</f>
        <v>0</v>
      </c>
    </row>
    <row r="21" spans="1:16" ht="15.6" x14ac:dyDescent="0.3">
      <c r="A21" s="3"/>
      <c r="B21" s="3"/>
      <c r="C21" s="3"/>
      <c r="D21" s="3"/>
      <c r="E21" s="3"/>
      <c r="F21" s="3"/>
      <c r="G21" s="40"/>
      <c r="H21" s="3"/>
      <c r="I21" s="28"/>
      <c r="J21" s="40"/>
      <c r="K21" s="28"/>
      <c r="L21" s="3"/>
      <c r="M21" s="29"/>
      <c r="N21" s="3"/>
      <c r="O21" s="3"/>
      <c r="P21" s="3"/>
    </row>
    <row r="22" spans="1:16" ht="15.6" x14ac:dyDescent="0.3">
      <c r="A22" s="3"/>
      <c r="B22" s="8" t="s">
        <v>53</v>
      </c>
      <c r="C22" s="8">
        <v>125400</v>
      </c>
      <c r="D22" s="41"/>
      <c r="E22" s="41"/>
      <c r="F22" s="8">
        <v>9</v>
      </c>
      <c r="G22" s="35">
        <v>6</v>
      </c>
      <c r="H22" s="8"/>
      <c r="I22" s="16"/>
      <c r="J22" s="35">
        <f>F22*G22+H22*I22</f>
        <v>54</v>
      </c>
      <c r="K22" s="16">
        <f>E22/(J22)</f>
        <v>0</v>
      </c>
      <c r="L22" s="3"/>
      <c r="M22" s="26">
        <f>E22+'5-29-22'!M22</f>
        <v>125400</v>
      </c>
      <c r="N22" s="27">
        <f>M22/C22</f>
        <v>1</v>
      </c>
      <c r="O22" s="35">
        <f>J22+'5-29-22'!O22</f>
        <v>592.75</v>
      </c>
      <c r="P22" s="26">
        <f>M22/O22</f>
        <v>211.55630535638971</v>
      </c>
    </row>
    <row r="23" spans="1:16" ht="15.6" x14ac:dyDescent="0.3">
      <c r="A23" s="3"/>
      <c r="B23" s="3"/>
      <c r="C23" s="3"/>
      <c r="D23" s="3"/>
      <c r="E23" s="3"/>
      <c r="F23" s="3"/>
      <c r="G23" s="40"/>
      <c r="H23" s="3"/>
      <c r="I23" s="28"/>
      <c r="J23" s="40"/>
      <c r="K23" s="28"/>
      <c r="L23" s="3"/>
      <c r="M23" s="29"/>
      <c r="N23" s="3"/>
      <c r="O23" s="36"/>
      <c r="P23" s="29"/>
    </row>
    <row r="24" spans="1:16" ht="15.6" x14ac:dyDescent="0.3">
      <c r="A24" s="3"/>
      <c r="B24" s="8" t="s">
        <v>54</v>
      </c>
      <c r="C24" s="8">
        <v>125400</v>
      </c>
      <c r="D24" s="8"/>
      <c r="E24" s="8"/>
      <c r="F24" s="8"/>
      <c r="G24" s="35"/>
      <c r="H24" s="8"/>
      <c r="I24" s="16"/>
      <c r="J24" s="35">
        <f>F24*G24+H24*I24</f>
        <v>0</v>
      </c>
      <c r="K24" s="16" t="e">
        <f>E24/(J24)</f>
        <v>#DIV/0!</v>
      </c>
      <c r="L24" s="3"/>
      <c r="M24" s="26">
        <f>E24+'5-29-22'!M24</f>
        <v>0</v>
      </c>
      <c r="N24" s="27">
        <f>M24/C24</f>
        <v>0</v>
      </c>
      <c r="O24" s="35">
        <f>J24+'5-29-22'!O24</f>
        <v>238.25</v>
      </c>
      <c r="P24" s="26">
        <f>M24/O24</f>
        <v>0</v>
      </c>
    </row>
    <row r="25" spans="1:16" ht="15.6" x14ac:dyDescent="0.3">
      <c r="A25" s="3"/>
      <c r="B25" s="3"/>
      <c r="C25" s="3"/>
      <c r="D25" s="3"/>
      <c r="E25" s="3"/>
      <c r="F25" s="3"/>
      <c r="G25" s="36"/>
      <c r="H25" s="3"/>
      <c r="I25" s="4"/>
      <c r="J25" s="36"/>
      <c r="K25" s="4"/>
      <c r="L25" s="3"/>
      <c r="M25" s="29"/>
      <c r="N25" s="3"/>
      <c r="O25" s="3"/>
      <c r="P25" s="3"/>
    </row>
    <row r="26" spans="1:16" ht="15.6" x14ac:dyDescent="0.3">
      <c r="A26" s="3"/>
      <c r="B26" s="8" t="s">
        <v>44</v>
      </c>
      <c r="C26" s="8">
        <v>3040</v>
      </c>
      <c r="D26" s="8"/>
      <c r="E26" s="8"/>
      <c r="F26" s="8"/>
      <c r="G26" s="35"/>
      <c r="H26" s="8"/>
      <c r="I26" s="16"/>
      <c r="J26" s="35">
        <f>F26*G26+H26*I26</f>
        <v>0</v>
      </c>
      <c r="K26" s="16" t="e">
        <f>E26/(J26)</f>
        <v>#DIV/0!</v>
      </c>
      <c r="L26" s="3"/>
      <c r="M26" s="26">
        <f>E26+'5-29-22'!M26</f>
        <v>0</v>
      </c>
      <c r="N26" s="27">
        <f>M26/C26</f>
        <v>0</v>
      </c>
      <c r="O26" s="35">
        <f>J26+'5-29-22'!O26</f>
        <v>0</v>
      </c>
      <c r="P26" s="26" t="e">
        <f>M26/O26</f>
        <v>#DIV/0!</v>
      </c>
    </row>
    <row r="27" spans="1:16" ht="15.6" x14ac:dyDescent="0.3">
      <c r="A27" s="3"/>
      <c r="B27" s="3"/>
      <c r="C27" s="3"/>
      <c r="D27" s="3"/>
      <c r="E27" s="3"/>
      <c r="F27" s="3"/>
      <c r="G27" s="36"/>
      <c r="H27" s="3"/>
      <c r="I27" s="4"/>
      <c r="J27" s="36"/>
      <c r="K27" s="4"/>
      <c r="L27" s="3"/>
      <c r="M27" s="29"/>
      <c r="N27" s="3"/>
      <c r="O27" s="3"/>
      <c r="P27" s="3"/>
    </row>
    <row r="28" spans="1:16" ht="15.6" x14ac:dyDescent="0.3">
      <c r="A28" s="3"/>
      <c r="B28" s="8" t="s">
        <v>45</v>
      </c>
      <c r="C28" s="8">
        <v>3040</v>
      </c>
      <c r="D28" s="8"/>
      <c r="E28" s="8"/>
      <c r="F28" s="8"/>
      <c r="G28" s="35"/>
      <c r="H28" s="8"/>
      <c r="I28" s="16"/>
      <c r="J28" s="35">
        <f>F28*G28+H28*I28</f>
        <v>0</v>
      </c>
      <c r="K28" s="16" t="e">
        <f>E28/(J28)</f>
        <v>#DIV/0!</v>
      </c>
      <c r="L28" s="3"/>
      <c r="M28" s="26">
        <f>E28+'5-29-22'!M28</f>
        <v>0</v>
      </c>
      <c r="N28" s="27">
        <f>M28/C28</f>
        <v>0</v>
      </c>
      <c r="O28" s="35">
        <f>J28+'5-29-22'!O28</f>
        <v>0</v>
      </c>
      <c r="P28" s="26" t="e">
        <f>M28/O28</f>
        <v>#DIV/0!</v>
      </c>
    </row>
    <row r="29" spans="1:16" ht="15.6" x14ac:dyDescent="0.3">
      <c r="A29" s="3"/>
      <c r="B29" s="3"/>
      <c r="C29" s="3"/>
      <c r="D29" s="3"/>
      <c r="E29" s="3"/>
      <c r="F29" s="3"/>
      <c r="G29" s="36"/>
      <c r="H29" s="3"/>
      <c r="I29" s="4"/>
      <c r="J29" s="36"/>
      <c r="K29" s="4"/>
      <c r="L29" s="3"/>
      <c r="M29" s="29"/>
      <c r="N29" s="3"/>
      <c r="O29" s="3"/>
      <c r="P29" s="3"/>
    </row>
    <row r="30" spans="1:16" ht="15.6" x14ac:dyDescent="0.3">
      <c r="A30" s="3"/>
      <c r="B30" s="8" t="s">
        <v>47</v>
      </c>
      <c r="C30" s="8">
        <v>125400</v>
      </c>
      <c r="D30" s="8"/>
      <c r="E30" s="8"/>
      <c r="F30" s="8"/>
      <c r="G30" s="35"/>
      <c r="H30" s="8"/>
      <c r="I30" s="16"/>
      <c r="J30" s="35">
        <f>F30*G30+H30*I30</f>
        <v>0</v>
      </c>
      <c r="K30" s="16" t="e">
        <f>E30/(J30)</f>
        <v>#DIV/0!</v>
      </c>
      <c r="L30" s="3"/>
      <c r="M30" s="26">
        <f>E30+'5-29-22'!M30</f>
        <v>0</v>
      </c>
      <c r="N30" s="27">
        <f>M30/C30</f>
        <v>0</v>
      </c>
      <c r="O30" s="35">
        <f>J30+'5-29-22'!O30</f>
        <v>0</v>
      </c>
      <c r="P30" s="26" t="e">
        <f>M30/O30</f>
        <v>#DIV/0!</v>
      </c>
    </row>
    <row r="31" spans="1:16" ht="15.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7"/>
      <c r="O31" s="3"/>
      <c r="P31" s="3"/>
    </row>
    <row r="32" spans="1:16" ht="15.6" x14ac:dyDescent="0.3">
      <c r="A32" s="3"/>
      <c r="B32" s="8" t="s">
        <v>46</v>
      </c>
      <c r="C32" s="8">
        <v>324</v>
      </c>
      <c r="D32" s="8"/>
      <c r="E32" s="8"/>
      <c r="F32" s="8"/>
      <c r="G32" s="35"/>
      <c r="H32" s="8"/>
      <c r="I32" s="16"/>
      <c r="J32" s="35">
        <f>F32*G32+H32*I32</f>
        <v>0</v>
      </c>
      <c r="K32" s="16" t="e">
        <f>E32/(J32)</f>
        <v>#DIV/0!</v>
      </c>
      <c r="L32" s="3"/>
      <c r="M32" s="26">
        <f>E32+'5-29-22'!M32</f>
        <v>0</v>
      </c>
      <c r="N32" s="27">
        <f>M32/C32</f>
        <v>0</v>
      </c>
      <c r="O32" s="35">
        <f>J32+'5-29-22'!O32</f>
        <v>0</v>
      </c>
      <c r="P32" s="26" t="e">
        <f>M32/O32</f>
        <v>#DIV/0!</v>
      </c>
    </row>
    <row r="33" spans="1:16" ht="15.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7"/>
      <c r="O33" s="3"/>
      <c r="P33" s="3"/>
    </row>
    <row r="34" spans="1:16" ht="15.6" x14ac:dyDescent="0.3">
      <c r="A34" s="3"/>
      <c r="B34" s="8" t="s">
        <v>48</v>
      </c>
      <c r="C34" s="8">
        <v>115000</v>
      </c>
      <c r="D34" s="8"/>
      <c r="E34" s="8"/>
      <c r="F34" s="8"/>
      <c r="G34" s="35"/>
      <c r="H34" s="8"/>
      <c r="I34" s="16"/>
      <c r="J34" s="35">
        <f>F34*G34+H34*I34</f>
        <v>0</v>
      </c>
      <c r="K34" s="16" t="e">
        <f>E34/(J34)</f>
        <v>#DIV/0!</v>
      </c>
      <c r="L34" s="3"/>
      <c r="M34" s="26">
        <f>E34+'5-29-22'!M34</f>
        <v>0</v>
      </c>
      <c r="N34" s="27">
        <f>M34/C34</f>
        <v>0</v>
      </c>
      <c r="O34" s="35">
        <f>J34+'5-29-22'!O34</f>
        <v>0</v>
      </c>
      <c r="P34" s="26" t="e">
        <f>M34/O34</f>
        <v>#DIV/0!</v>
      </c>
    </row>
    <row r="35" spans="1:16" ht="15.6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27"/>
      <c r="O35" s="3"/>
      <c r="P35" s="3"/>
    </row>
    <row r="36" spans="1:16" ht="15.6" x14ac:dyDescent="0.3">
      <c r="A36" s="3"/>
      <c r="B36" s="8" t="s">
        <v>49</v>
      </c>
      <c r="C36" s="8">
        <v>8</v>
      </c>
      <c r="D36" s="8"/>
      <c r="E36" s="8"/>
      <c r="F36" s="8"/>
      <c r="G36" s="35"/>
      <c r="H36" s="8"/>
      <c r="I36" s="16"/>
      <c r="J36" s="35">
        <f>F36*G36+H36*I36</f>
        <v>0</v>
      </c>
      <c r="K36" s="16" t="e">
        <f>E36/(J36)</f>
        <v>#DIV/0!</v>
      </c>
      <c r="L36" s="3"/>
      <c r="M36" s="26">
        <f>E36+'5-29-22'!M36</f>
        <v>0</v>
      </c>
      <c r="N36" s="27">
        <f>M36/C36</f>
        <v>0</v>
      </c>
      <c r="O36" s="35">
        <f>J36+'5-29-22'!O36</f>
        <v>0</v>
      </c>
      <c r="P36" s="26" t="e">
        <f>M36/O36</f>
        <v>#DIV/0!</v>
      </c>
    </row>
    <row r="37" spans="1:16" ht="15.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27"/>
      <c r="O37" s="3"/>
      <c r="P37" s="3"/>
    </row>
    <row r="38" spans="1:16" ht="15.6" x14ac:dyDescent="0.3">
      <c r="A38" s="3"/>
      <c r="B38" s="8" t="s">
        <v>50</v>
      </c>
      <c r="C38" s="8">
        <f>2760+480</f>
        <v>3240</v>
      </c>
      <c r="D38" s="8"/>
      <c r="E38" s="8"/>
      <c r="F38" s="8"/>
      <c r="G38" s="35"/>
      <c r="H38" s="8"/>
      <c r="I38" s="16"/>
      <c r="J38" s="35">
        <f>F38*G38+H38*I38</f>
        <v>0</v>
      </c>
      <c r="K38" s="16" t="e">
        <f>E38/(J38)</f>
        <v>#DIV/0!</v>
      </c>
      <c r="L38" s="3"/>
      <c r="M38" s="26">
        <f>E38+'5-29-22'!M38</f>
        <v>555</v>
      </c>
      <c r="N38" s="27">
        <f>M38/C38</f>
        <v>0.17129629629629631</v>
      </c>
      <c r="O38" s="35">
        <f>J38+'5-29-22'!O38</f>
        <v>9</v>
      </c>
      <c r="P38" s="26">
        <f>M38/O38</f>
        <v>61.666666666666664</v>
      </c>
    </row>
    <row r="39" spans="1:16" ht="15.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7"/>
      <c r="O39" s="3"/>
      <c r="P39" s="3"/>
    </row>
    <row r="40" spans="1:16" ht="15.6" x14ac:dyDescent="0.3">
      <c r="A40" s="3"/>
      <c r="B40" s="8" t="s">
        <v>51</v>
      </c>
      <c r="C40" s="8">
        <v>25</v>
      </c>
      <c r="D40" s="8"/>
      <c r="E40" s="8"/>
      <c r="F40" s="8"/>
      <c r="G40" s="35"/>
      <c r="H40" s="8"/>
      <c r="I40" s="16"/>
      <c r="J40" s="35">
        <f>F40*G40+H40*I40</f>
        <v>0</v>
      </c>
      <c r="K40" s="16" t="e">
        <f>E40/(J40)</f>
        <v>#DIV/0!</v>
      </c>
      <c r="L40" s="3"/>
      <c r="M40" s="26">
        <f>E40+'5-29-22'!M40</f>
        <v>0</v>
      </c>
      <c r="N40" s="27">
        <f>M40/C40</f>
        <v>0</v>
      </c>
      <c r="O40" s="35">
        <f>J40+'5-29-22'!O40</f>
        <v>0</v>
      </c>
      <c r="P40" s="26" t="e">
        <f>M40/O40</f>
        <v>#DIV/0!</v>
      </c>
    </row>
    <row r="41" spans="1:16" ht="15.6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27"/>
      <c r="O41" s="3"/>
      <c r="P41" s="3"/>
    </row>
    <row r="42" spans="1:16" ht="15.6" x14ac:dyDescent="0.3">
      <c r="A42" s="3"/>
      <c r="B42" s="8" t="s">
        <v>75</v>
      </c>
      <c r="C42" s="8"/>
      <c r="D42" s="8"/>
      <c r="E42" s="8"/>
      <c r="F42" s="8"/>
      <c r="G42" s="35"/>
      <c r="H42" s="8"/>
      <c r="I42" s="16"/>
      <c r="J42" s="35">
        <f>F42*G42+H42*I42</f>
        <v>0</v>
      </c>
      <c r="K42" s="16" t="e">
        <f>E42/(J42)</f>
        <v>#DIV/0!</v>
      </c>
      <c r="L42" s="3"/>
      <c r="M42" s="26">
        <f>E42+'5-29-22'!M42</f>
        <v>0</v>
      </c>
      <c r="N42" s="27" t="e">
        <f>M42/C42</f>
        <v>#DIV/0!</v>
      </c>
      <c r="O42" s="35">
        <f>J42+'5-29-22'!O42</f>
        <v>123.75</v>
      </c>
      <c r="P42" s="26">
        <f>M42/O42</f>
        <v>0</v>
      </c>
    </row>
    <row r="43" spans="1:16" ht="15.6" x14ac:dyDescent="0.3">
      <c r="A43" s="3"/>
      <c r="B43" s="3" t="s">
        <v>27</v>
      </c>
      <c r="C43" s="3"/>
      <c r="D43" s="3"/>
      <c r="E43" s="3"/>
      <c r="F43" s="3"/>
      <c r="G43" s="3"/>
      <c r="H43" s="30"/>
      <c r="I43" s="4"/>
      <c r="J43" s="3">
        <f>J20+J22+J24+J26+J28+J30+J32+J34+J36+J38+J40+J42</f>
        <v>54</v>
      </c>
      <c r="K43" s="3"/>
      <c r="L43" s="3"/>
      <c r="M43" s="3"/>
      <c r="N43" s="3"/>
      <c r="O43" s="3">
        <f>O20+O22+O24+O26+O28+O30+O32+O34+O36+O38+O40+O42</f>
        <v>1071.75</v>
      </c>
      <c r="P43" s="3"/>
    </row>
    <row r="44" spans="1:16" ht="15.6" x14ac:dyDescent="0.3">
      <c r="A44" s="3"/>
      <c r="B44" s="3"/>
      <c r="C44" s="3"/>
      <c r="D44" s="3"/>
      <c r="E44" s="3"/>
      <c r="F44" s="3"/>
      <c r="G44" s="3"/>
      <c r="H44" s="3"/>
      <c r="I44" s="4"/>
      <c r="J44" s="3"/>
      <c r="K44" s="3"/>
      <c r="L44" s="3"/>
      <c r="M44" s="3"/>
      <c r="N44" s="3"/>
      <c r="O44" s="3"/>
      <c r="P44" s="3"/>
    </row>
    <row r="45" spans="1:16" ht="15.6" x14ac:dyDescent="0.3">
      <c r="A45" s="3"/>
      <c r="B45" s="3" t="s">
        <v>28</v>
      </c>
      <c r="C45" s="3" t="s">
        <v>95</v>
      </c>
      <c r="D45" s="3"/>
      <c r="E45" s="3"/>
      <c r="F45" s="3"/>
      <c r="G45" s="3"/>
      <c r="H45" s="3"/>
      <c r="I45" s="4"/>
      <c r="J45" s="3"/>
      <c r="K45" s="3"/>
      <c r="L45" s="3"/>
      <c r="M45" s="3"/>
      <c r="N45" s="3"/>
      <c r="O45" s="3"/>
      <c r="P45" s="3"/>
    </row>
    <row r="46" spans="1:16" ht="15.6" x14ac:dyDescent="0.3">
      <c r="C46" s="33"/>
    </row>
    <row r="47" spans="1:16" ht="15.6" x14ac:dyDescent="0.3">
      <c r="B47" s="3" t="s">
        <v>32</v>
      </c>
      <c r="C47" s="33" t="s">
        <v>96</v>
      </c>
    </row>
    <row r="48" spans="1:16" ht="15.6" x14ac:dyDescent="0.3">
      <c r="C48" s="33"/>
    </row>
    <row r="49" spans="2:3" ht="15.6" x14ac:dyDescent="0.3">
      <c r="B49" s="3" t="s">
        <v>33</v>
      </c>
      <c r="C49" s="3" t="s">
        <v>97</v>
      </c>
    </row>
  </sheetData>
  <mergeCells count="2">
    <mergeCell ref="A1:G1"/>
    <mergeCell ref="H7:I7"/>
  </mergeCells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6511-B665-47E3-9732-F7C4BCE78E5E}">
  <dimension ref="A1:P50"/>
  <sheetViews>
    <sheetView topLeftCell="A19" zoomScale="85" zoomScaleNormal="85" workbookViewId="0">
      <selection activeCell="O42" sqref="O42"/>
    </sheetView>
  </sheetViews>
  <sheetFormatPr defaultRowHeight="14.4" x14ac:dyDescent="0.3"/>
  <cols>
    <col min="1" max="1" width="11.33203125" customWidth="1"/>
    <col min="2" max="2" width="29.33203125" customWidth="1"/>
    <col min="3" max="3" width="22.109375" customWidth="1"/>
    <col min="4" max="4" width="14.88671875" customWidth="1"/>
    <col min="5" max="5" width="16.6640625" customWidth="1"/>
    <col min="6" max="6" width="17.44140625" customWidth="1"/>
    <col min="8" max="8" width="20.44140625" customWidth="1"/>
    <col min="13" max="13" width="10.6640625" customWidth="1"/>
    <col min="15" max="15" width="10.6640625" customWidth="1"/>
  </cols>
  <sheetData>
    <row r="1" spans="1:16" ht="18" x14ac:dyDescent="0.35">
      <c r="A1" s="66" t="s">
        <v>0</v>
      </c>
      <c r="B1" s="66"/>
      <c r="C1" s="66"/>
      <c r="D1" s="66"/>
      <c r="E1" s="66"/>
      <c r="F1" s="66"/>
      <c r="G1" s="66"/>
      <c r="H1" s="1"/>
      <c r="I1" s="2"/>
      <c r="J1" s="1"/>
      <c r="K1" s="1"/>
      <c r="L1" s="1"/>
      <c r="M1" s="1"/>
      <c r="N1" s="1"/>
      <c r="O1" s="1"/>
      <c r="P1" s="1"/>
    </row>
    <row r="2" spans="1:16" ht="15.6" x14ac:dyDescent="0.3">
      <c r="A2" s="3"/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</row>
    <row r="3" spans="1:16" ht="15.6" x14ac:dyDescent="0.3">
      <c r="A3" s="3"/>
      <c r="B3" s="5" t="s">
        <v>1</v>
      </c>
      <c r="C3" s="6" t="s">
        <v>43</v>
      </c>
      <c r="D3" s="7"/>
      <c r="E3" s="3"/>
      <c r="F3" s="5" t="s">
        <v>2</v>
      </c>
      <c r="G3" s="8">
        <v>4355</v>
      </c>
      <c r="H3" s="5" t="s">
        <v>41</v>
      </c>
      <c r="I3" s="36">
        <v>49</v>
      </c>
      <c r="J3" s="3"/>
      <c r="K3" s="3"/>
      <c r="L3" s="3"/>
      <c r="M3" s="3"/>
      <c r="N3" s="3"/>
      <c r="O3" s="3"/>
      <c r="P3" s="3"/>
    </row>
    <row r="4" spans="1:16" ht="15.6" x14ac:dyDescent="0.3">
      <c r="A4" s="3"/>
      <c r="B4" s="5" t="s">
        <v>3</v>
      </c>
      <c r="C4" s="37">
        <v>300155</v>
      </c>
      <c r="D4" s="7"/>
      <c r="E4" s="3"/>
      <c r="F4" s="5" t="s">
        <v>4</v>
      </c>
      <c r="G4" s="8">
        <f>J16+'5-28-22'!G4</f>
        <v>1017.75</v>
      </c>
      <c r="H4" s="34" t="s">
        <v>42</v>
      </c>
      <c r="I4" s="4">
        <v>14</v>
      </c>
      <c r="J4" s="3"/>
      <c r="K4" s="3"/>
      <c r="L4" s="3"/>
      <c r="M4" s="3"/>
      <c r="N4" s="3"/>
      <c r="O4" s="3"/>
      <c r="P4" s="3"/>
    </row>
    <row r="5" spans="1:16" ht="15.6" x14ac:dyDescent="0.3">
      <c r="A5" s="3"/>
      <c r="B5" s="5" t="s">
        <v>5</v>
      </c>
      <c r="C5" s="38">
        <v>44710</v>
      </c>
      <c r="D5" s="3"/>
      <c r="E5" s="3"/>
      <c r="F5" s="3"/>
      <c r="G5" s="3"/>
      <c r="H5" s="3"/>
      <c r="I5" s="4"/>
      <c r="J5" s="3"/>
      <c r="K5" s="3"/>
      <c r="L5" s="3"/>
      <c r="M5" s="3"/>
      <c r="N5" s="3"/>
      <c r="O5" s="3"/>
      <c r="P5" s="3"/>
    </row>
    <row r="6" spans="1:16" ht="15.6" x14ac:dyDescent="0.3">
      <c r="A6" s="3"/>
      <c r="B6" s="5"/>
      <c r="C6" s="3"/>
      <c r="D6" s="3"/>
      <c r="E6" s="3"/>
      <c r="F6" s="3"/>
      <c r="G6" s="3"/>
      <c r="H6" s="3"/>
      <c r="I6" s="4"/>
      <c r="J6" s="3"/>
      <c r="K6" s="3"/>
      <c r="L6" s="3"/>
      <c r="M6" s="3"/>
      <c r="N6" s="3"/>
      <c r="O6" s="3"/>
      <c r="P6" s="3"/>
    </row>
    <row r="7" spans="1:16" ht="15.6" x14ac:dyDescent="0.3">
      <c r="A7" s="10" t="s">
        <v>6</v>
      </c>
      <c r="B7" s="11"/>
      <c r="C7" s="12" t="s">
        <v>7</v>
      </c>
      <c r="D7" s="3"/>
      <c r="E7" s="12" t="s">
        <v>8</v>
      </c>
      <c r="F7" s="12" t="s">
        <v>34</v>
      </c>
      <c r="G7" s="3"/>
      <c r="H7" s="67" t="s">
        <v>7</v>
      </c>
      <c r="I7" s="67"/>
      <c r="J7" s="12" t="s">
        <v>8</v>
      </c>
      <c r="K7" s="3"/>
      <c r="L7" s="3"/>
      <c r="M7" s="3"/>
      <c r="N7" s="3"/>
      <c r="O7" s="3"/>
      <c r="P7" s="3"/>
    </row>
    <row r="8" spans="1:16" ht="15.6" x14ac:dyDescent="0.3">
      <c r="A8" s="13">
        <v>1</v>
      </c>
      <c r="B8" s="5" t="s">
        <v>9</v>
      </c>
      <c r="C8" s="14" t="s">
        <v>35</v>
      </c>
      <c r="D8" s="15"/>
      <c r="E8" s="35">
        <v>8</v>
      </c>
      <c r="F8" s="16">
        <v>66</v>
      </c>
      <c r="G8" s="11">
        <v>9</v>
      </c>
      <c r="H8" s="14" t="s">
        <v>40</v>
      </c>
      <c r="I8" s="8"/>
      <c r="J8" s="39">
        <v>8</v>
      </c>
      <c r="K8" s="3"/>
      <c r="L8" s="3"/>
      <c r="M8" s="3"/>
      <c r="N8" s="3"/>
      <c r="O8" s="3"/>
      <c r="P8" s="3"/>
    </row>
    <row r="9" spans="1:16" ht="15.6" x14ac:dyDescent="0.3">
      <c r="A9" s="13">
        <v>2</v>
      </c>
      <c r="B9" s="5" t="s">
        <v>10</v>
      </c>
      <c r="C9" s="14" t="s">
        <v>37</v>
      </c>
      <c r="D9" s="8"/>
      <c r="E9" s="35">
        <v>8</v>
      </c>
      <c r="F9" s="16"/>
      <c r="G9" s="11">
        <v>10</v>
      </c>
      <c r="H9" s="14"/>
      <c r="I9" s="8"/>
      <c r="J9" s="39"/>
      <c r="K9" s="3"/>
      <c r="L9" s="3"/>
      <c r="M9" s="3"/>
      <c r="N9" s="3"/>
      <c r="O9" s="3"/>
      <c r="P9" s="3"/>
    </row>
    <row r="10" spans="1:16" ht="15.6" x14ac:dyDescent="0.3">
      <c r="A10" s="13">
        <v>3</v>
      </c>
      <c r="B10" s="5" t="s">
        <v>11</v>
      </c>
      <c r="C10" s="14" t="s">
        <v>36</v>
      </c>
      <c r="D10" s="8"/>
      <c r="E10" s="35">
        <v>8</v>
      </c>
      <c r="F10" s="16">
        <v>78</v>
      </c>
      <c r="G10" s="11">
        <v>11</v>
      </c>
      <c r="H10" s="3"/>
      <c r="I10" s="8"/>
      <c r="J10" s="39"/>
      <c r="K10" s="3"/>
      <c r="L10" s="3"/>
      <c r="M10" s="3"/>
      <c r="N10" s="3"/>
      <c r="O10" s="3"/>
      <c r="P10" s="3"/>
    </row>
    <row r="11" spans="1:16" ht="15.6" x14ac:dyDescent="0.3">
      <c r="A11" s="13">
        <v>4</v>
      </c>
      <c r="B11" s="5" t="s">
        <v>12</v>
      </c>
      <c r="C11" s="14" t="s">
        <v>29</v>
      </c>
      <c r="D11" s="8"/>
      <c r="E11" s="35">
        <v>8</v>
      </c>
      <c r="F11" s="16"/>
      <c r="G11" s="11">
        <v>12</v>
      </c>
      <c r="H11" s="3"/>
      <c r="I11" s="8"/>
      <c r="J11" s="39"/>
      <c r="K11" s="3"/>
      <c r="L11" s="3"/>
      <c r="M11" s="3"/>
      <c r="N11" s="3"/>
      <c r="O11" s="3"/>
      <c r="P11" s="3"/>
    </row>
    <row r="12" spans="1:16" ht="15.6" x14ac:dyDescent="0.3">
      <c r="A12" s="13">
        <v>5</v>
      </c>
      <c r="B12" s="3"/>
      <c r="C12" s="31" t="s">
        <v>30</v>
      </c>
      <c r="D12" s="8"/>
      <c r="E12" s="35">
        <v>8</v>
      </c>
      <c r="F12" s="16"/>
      <c r="G12" s="11">
        <v>13</v>
      </c>
      <c r="H12" s="3"/>
      <c r="I12" s="8"/>
      <c r="J12" s="39"/>
      <c r="K12" s="3"/>
      <c r="L12" s="3"/>
      <c r="M12" s="3"/>
      <c r="N12" s="3"/>
      <c r="O12" s="3"/>
      <c r="P12" s="3"/>
    </row>
    <row r="13" spans="1:16" ht="15.6" x14ac:dyDescent="0.3">
      <c r="A13" s="13">
        <v>6</v>
      </c>
      <c r="B13" s="3"/>
      <c r="C13" s="14" t="s">
        <v>31</v>
      </c>
      <c r="D13" s="8"/>
      <c r="E13" s="35">
        <v>8</v>
      </c>
      <c r="F13" s="16">
        <v>74</v>
      </c>
      <c r="G13" s="11">
        <v>14</v>
      </c>
      <c r="H13" s="18"/>
      <c r="I13" s="8"/>
      <c r="J13" s="39"/>
      <c r="K13" s="3"/>
      <c r="L13" s="3"/>
      <c r="M13" s="3"/>
      <c r="N13" s="3"/>
      <c r="O13" s="3"/>
      <c r="P13" s="3"/>
    </row>
    <row r="14" spans="1:16" ht="15.6" x14ac:dyDescent="0.3">
      <c r="A14" s="13">
        <v>7</v>
      </c>
      <c r="B14" s="5" t="s">
        <v>52</v>
      </c>
      <c r="C14" s="14" t="s">
        <v>39</v>
      </c>
      <c r="D14" s="8"/>
      <c r="E14" s="35">
        <v>8</v>
      </c>
      <c r="F14" s="16"/>
      <c r="G14" s="11">
        <v>15</v>
      </c>
      <c r="H14" s="3"/>
      <c r="I14" s="8"/>
      <c r="J14" s="39"/>
      <c r="K14" s="3"/>
      <c r="L14" s="3"/>
      <c r="M14" s="3"/>
      <c r="N14" s="3"/>
      <c r="O14" s="3"/>
      <c r="P14" s="3"/>
    </row>
    <row r="15" spans="1:16" ht="15.6" x14ac:dyDescent="0.3">
      <c r="A15" s="13">
        <v>8</v>
      </c>
      <c r="B15" s="3"/>
      <c r="C15" s="14" t="s">
        <v>38</v>
      </c>
      <c r="D15" s="8"/>
      <c r="E15" s="35">
        <v>8</v>
      </c>
      <c r="F15" s="16"/>
      <c r="G15" s="11">
        <v>16</v>
      </c>
      <c r="H15" s="3"/>
      <c r="I15" s="8"/>
      <c r="J15" s="39"/>
      <c r="K15" s="3"/>
      <c r="L15" s="3"/>
      <c r="M15" s="3"/>
      <c r="N15" s="3"/>
      <c r="O15" s="3"/>
      <c r="P15" s="3"/>
    </row>
    <row r="16" spans="1:16" ht="15.6" x14ac:dyDescent="0.3">
      <c r="A16" s="3"/>
      <c r="B16" s="3"/>
      <c r="C16" s="3"/>
      <c r="D16" s="3"/>
      <c r="E16" s="3"/>
      <c r="F16" s="3"/>
      <c r="G16" s="13"/>
      <c r="H16" s="7" t="s">
        <v>13</v>
      </c>
      <c r="I16" s="3"/>
      <c r="J16" s="8">
        <f>SUM(E8:E15)+SUM(J8:J15)</f>
        <v>72</v>
      </c>
      <c r="K16" s="3"/>
      <c r="L16" s="3"/>
      <c r="M16" s="3"/>
      <c r="N16" s="3"/>
      <c r="O16" s="3"/>
      <c r="P16" s="3"/>
    </row>
    <row r="17" spans="1:16" ht="15.6" x14ac:dyDescent="0.3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  <c r="L17" s="3"/>
      <c r="M17" s="3"/>
      <c r="N17" s="3"/>
      <c r="O17" s="3"/>
      <c r="P17" s="3"/>
    </row>
    <row r="18" spans="1:16" ht="93.6" x14ac:dyDescent="0.3">
      <c r="A18" s="19"/>
      <c r="B18" s="20" t="s">
        <v>14</v>
      </c>
      <c r="C18" s="21" t="s">
        <v>15</v>
      </c>
      <c r="D18" s="22" t="s">
        <v>16</v>
      </c>
      <c r="E18" s="22" t="s">
        <v>17</v>
      </c>
      <c r="F18" s="22" t="s">
        <v>18</v>
      </c>
      <c r="G18" s="22" t="s">
        <v>19</v>
      </c>
      <c r="H18" s="22" t="s">
        <v>18</v>
      </c>
      <c r="I18" s="22" t="s">
        <v>19</v>
      </c>
      <c r="J18" s="22" t="s">
        <v>20</v>
      </c>
      <c r="K18" s="23" t="s">
        <v>21</v>
      </c>
      <c r="L18" s="24"/>
      <c r="M18" s="23" t="s">
        <v>22</v>
      </c>
      <c r="N18" s="23" t="s">
        <v>23</v>
      </c>
      <c r="O18" s="23" t="s">
        <v>24</v>
      </c>
      <c r="P18" s="23" t="s">
        <v>25</v>
      </c>
    </row>
    <row r="19" spans="1:16" ht="15.6" x14ac:dyDescent="0.3">
      <c r="A19" s="19"/>
      <c r="B19" s="19"/>
      <c r="C19" s="24"/>
      <c r="D19" s="24"/>
      <c r="E19" s="24"/>
      <c r="F19" s="24"/>
      <c r="G19" s="24"/>
      <c r="H19" s="24"/>
      <c r="I19" s="24"/>
      <c r="J19" s="24"/>
      <c r="K19" s="25"/>
      <c r="L19" s="24"/>
      <c r="M19" s="3"/>
      <c r="N19" s="3"/>
      <c r="O19" s="3"/>
      <c r="P19" s="3"/>
    </row>
    <row r="20" spans="1:16" ht="15.6" x14ac:dyDescent="0.3">
      <c r="A20" s="3"/>
      <c r="B20" s="8" t="s">
        <v>26</v>
      </c>
      <c r="C20" s="8">
        <v>1</v>
      </c>
      <c r="D20" s="8">
        <v>1</v>
      </c>
      <c r="E20" s="8"/>
      <c r="F20" s="8"/>
      <c r="G20" s="35">
        <v>0</v>
      </c>
      <c r="H20" s="8"/>
      <c r="I20" s="16"/>
      <c r="J20" s="35">
        <f>F20*G20+H20*I20</f>
        <v>0</v>
      </c>
      <c r="K20" s="16" t="e">
        <f>E20/(J20)</f>
        <v>#DIV/0!</v>
      </c>
      <c r="L20" s="3"/>
      <c r="M20" s="26">
        <v>0</v>
      </c>
      <c r="N20" s="27">
        <f>M20/C20</f>
        <v>0</v>
      </c>
      <c r="O20" s="35">
        <f>J20+'5-28-22'!O20</f>
        <v>108</v>
      </c>
      <c r="P20" s="26">
        <f>M20/O20</f>
        <v>0</v>
      </c>
    </row>
    <row r="21" spans="1:16" ht="15.6" x14ac:dyDescent="0.3">
      <c r="A21" s="3"/>
      <c r="B21" s="3"/>
      <c r="C21" s="3"/>
      <c r="D21" s="3"/>
      <c r="E21" s="3"/>
      <c r="F21" s="3"/>
      <c r="G21" s="40"/>
      <c r="H21" s="3"/>
      <c r="I21" s="28"/>
      <c r="J21" s="40"/>
      <c r="K21" s="28"/>
      <c r="L21" s="3"/>
      <c r="M21" s="29"/>
      <c r="N21" s="3"/>
      <c r="O21" s="3"/>
      <c r="P21" s="3"/>
    </row>
    <row r="22" spans="1:16" ht="15.6" x14ac:dyDescent="0.3">
      <c r="A22" s="3"/>
      <c r="B22" s="8" t="s">
        <v>53</v>
      </c>
      <c r="C22" s="8">
        <v>125400</v>
      </c>
      <c r="D22" s="41"/>
      <c r="E22" s="41"/>
      <c r="F22" s="8"/>
      <c r="G22" s="35"/>
      <c r="H22" s="8"/>
      <c r="I22" s="16"/>
      <c r="J22" s="35">
        <f>F22*G22+H22*I22</f>
        <v>0</v>
      </c>
      <c r="K22" s="16" t="e">
        <f>E22/(J22)</f>
        <v>#DIV/0!</v>
      </c>
      <c r="L22" s="3"/>
      <c r="M22" s="26">
        <f>E22+'5-28-22'!M22</f>
        <v>125400</v>
      </c>
      <c r="N22" s="27">
        <f>M22/C22</f>
        <v>1</v>
      </c>
      <c r="O22" s="35">
        <f>J22+'5-28-22'!O22</f>
        <v>538.75</v>
      </c>
      <c r="P22" s="26">
        <f>M22/O22</f>
        <v>232.76102088167053</v>
      </c>
    </row>
    <row r="23" spans="1:16" ht="15.6" x14ac:dyDescent="0.3">
      <c r="A23" s="3"/>
      <c r="B23" s="3"/>
      <c r="C23" s="3"/>
      <c r="D23" s="3"/>
      <c r="E23" s="3"/>
      <c r="F23" s="3"/>
      <c r="G23" s="40"/>
      <c r="H23" s="3"/>
      <c r="I23" s="28"/>
      <c r="J23" s="40"/>
      <c r="K23" s="28"/>
      <c r="L23" s="3"/>
      <c r="M23" s="29"/>
      <c r="N23" s="3"/>
      <c r="O23" s="36"/>
      <c r="P23" s="29"/>
    </row>
    <row r="24" spans="1:16" ht="15.6" x14ac:dyDescent="0.3">
      <c r="A24" s="3"/>
      <c r="B24" s="8" t="s">
        <v>54</v>
      </c>
      <c r="C24" s="8">
        <v>125400</v>
      </c>
      <c r="D24" s="8"/>
      <c r="E24" s="8"/>
      <c r="F24" s="43">
        <v>9</v>
      </c>
      <c r="G24" s="45">
        <v>5</v>
      </c>
      <c r="H24" s="43">
        <v>6</v>
      </c>
      <c r="I24" s="44">
        <v>3</v>
      </c>
      <c r="J24" s="35">
        <f>F24*G24+H24*I24</f>
        <v>63</v>
      </c>
      <c r="K24" s="16">
        <f>E24/(J24)</f>
        <v>0</v>
      </c>
      <c r="L24" s="3"/>
      <c r="M24" s="26">
        <f>E24+'5-28-22'!M24</f>
        <v>0</v>
      </c>
      <c r="N24" s="27">
        <f>M24/C24</f>
        <v>0</v>
      </c>
      <c r="O24" s="35">
        <f>J24+'5-28-22'!O24</f>
        <v>238.25</v>
      </c>
      <c r="P24" s="26">
        <f>M24/O24</f>
        <v>0</v>
      </c>
    </row>
    <row r="25" spans="1:16" ht="15.6" x14ac:dyDescent="0.3">
      <c r="A25" s="3"/>
      <c r="B25" s="3"/>
      <c r="C25" s="3"/>
      <c r="D25" s="3"/>
      <c r="E25" s="3"/>
      <c r="F25" s="3"/>
      <c r="G25" s="36"/>
      <c r="H25" s="3"/>
      <c r="I25" s="4"/>
      <c r="J25" s="36"/>
      <c r="K25" s="4"/>
      <c r="L25" s="3"/>
      <c r="M25" s="29"/>
      <c r="N25" s="3"/>
      <c r="O25" s="3"/>
      <c r="P25" s="3"/>
    </row>
    <row r="26" spans="1:16" ht="15.6" x14ac:dyDescent="0.3">
      <c r="A26" s="3"/>
      <c r="B26" s="8" t="s">
        <v>44</v>
      </c>
      <c r="C26" s="8">
        <v>3040</v>
      </c>
      <c r="D26" s="8"/>
      <c r="E26" s="8"/>
      <c r="F26" s="8"/>
      <c r="G26" s="35"/>
      <c r="H26" s="8"/>
      <c r="I26" s="16"/>
      <c r="J26" s="35">
        <f>F26*G26+H26*I26</f>
        <v>0</v>
      </c>
      <c r="K26" s="16" t="e">
        <f>E26/(J26)</f>
        <v>#DIV/0!</v>
      </c>
      <c r="L26" s="3"/>
      <c r="M26" s="26">
        <f>E26+'5-28-22'!M26</f>
        <v>0</v>
      </c>
      <c r="N26" s="27">
        <f>M26/C26</f>
        <v>0</v>
      </c>
      <c r="O26" s="35">
        <f>J26+'5-28-22'!O26</f>
        <v>0</v>
      </c>
      <c r="P26" s="26" t="e">
        <f>M26/O26</f>
        <v>#DIV/0!</v>
      </c>
    </row>
    <row r="27" spans="1:16" ht="15.6" x14ac:dyDescent="0.3">
      <c r="A27" s="3"/>
      <c r="B27" s="3"/>
      <c r="C27" s="3"/>
      <c r="D27" s="3"/>
      <c r="E27" s="3"/>
      <c r="F27" s="3"/>
      <c r="G27" s="36"/>
      <c r="H27" s="3"/>
      <c r="I27" s="4"/>
      <c r="J27" s="36"/>
      <c r="K27" s="4"/>
      <c r="L27" s="3"/>
      <c r="M27" s="29"/>
      <c r="N27" s="3"/>
      <c r="O27" s="3"/>
      <c r="P27" s="3"/>
    </row>
    <row r="28" spans="1:16" ht="15.6" x14ac:dyDescent="0.3">
      <c r="A28" s="3"/>
      <c r="B28" s="8" t="s">
        <v>45</v>
      </c>
      <c r="C28" s="8">
        <v>3040</v>
      </c>
      <c r="D28" s="8"/>
      <c r="E28" s="8"/>
      <c r="F28" s="8"/>
      <c r="G28" s="35"/>
      <c r="H28" s="8"/>
      <c r="I28" s="16"/>
      <c r="J28" s="35">
        <f>F28*G28+H28*I28</f>
        <v>0</v>
      </c>
      <c r="K28" s="16" t="e">
        <f>E28/(J28)</f>
        <v>#DIV/0!</v>
      </c>
      <c r="L28" s="3"/>
      <c r="M28" s="26">
        <f>E28+'5-28-22'!M28</f>
        <v>0</v>
      </c>
      <c r="N28" s="27">
        <f>M28/C28</f>
        <v>0</v>
      </c>
      <c r="O28" s="35">
        <f>J28+'5-28-22'!O28</f>
        <v>0</v>
      </c>
      <c r="P28" s="26" t="e">
        <f>M28/O28</f>
        <v>#DIV/0!</v>
      </c>
    </row>
    <row r="29" spans="1:16" ht="15.6" x14ac:dyDescent="0.3">
      <c r="A29" s="3"/>
      <c r="B29" s="3"/>
      <c r="C29" s="3"/>
      <c r="D29" s="3"/>
      <c r="E29" s="3"/>
      <c r="F29" s="3"/>
      <c r="G29" s="36"/>
      <c r="H29" s="3"/>
      <c r="I29" s="4"/>
      <c r="J29" s="36"/>
      <c r="K29" s="4"/>
      <c r="L29" s="3"/>
      <c r="M29" s="29"/>
      <c r="N29" s="3"/>
      <c r="O29" s="3"/>
      <c r="P29" s="3"/>
    </row>
    <row r="30" spans="1:16" ht="15.6" x14ac:dyDescent="0.3">
      <c r="A30" s="3"/>
      <c r="B30" s="8" t="s">
        <v>47</v>
      </c>
      <c r="C30" s="8">
        <v>125400</v>
      </c>
      <c r="D30" s="8"/>
      <c r="E30" s="8"/>
      <c r="F30" s="8"/>
      <c r="G30" s="35"/>
      <c r="H30" s="8"/>
      <c r="I30" s="16"/>
      <c r="J30" s="35">
        <f>F30*G30+H30*I30</f>
        <v>0</v>
      </c>
      <c r="K30" s="16" t="e">
        <f>E30/(J30)</f>
        <v>#DIV/0!</v>
      </c>
      <c r="L30" s="3"/>
      <c r="M30" s="26">
        <f>E30+'5-28-22'!M30</f>
        <v>0</v>
      </c>
      <c r="N30" s="27">
        <f>M30/C30</f>
        <v>0</v>
      </c>
      <c r="O30" s="35">
        <f>J30+'5-28-22'!O30</f>
        <v>0</v>
      </c>
      <c r="P30" s="26" t="e">
        <f>M30/O30</f>
        <v>#DIV/0!</v>
      </c>
    </row>
    <row r="31" spans="1:16" ht="15.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7"/>
      <c r="O31" s="3"/>
      <c r="P31" s="3"/>
    </row>
    <row r="32" spans="1:16" ht="15.6" x14ac:dyDescent="0.3">
      <c r="A32" s="3"/>
      <c r="B32" s="8" t="s">
        <v>46</v>
      </c>
      <c r="C32" s="8">
        <v>324</v>
      </c>
      <c r="D32" s="8"/>
      <c r="E32" s="8"/>
      <c r="F32" s="8"/>
      <c r="G32" s="35"/>
      <c r="H32" s="8"/>
      <c r="I32" s="16"/>
      <c r="J32" s="35">
        <f>F32*G32+H32*I32</f>
        <v>0</v>
      </c>
      <c r="K32" s="16" t="e">
        <f>E32/(J32)</f>
        <v>#DIV/0!</v>
      </c>
      <c r="L32" s="3"/>
      <c r="M32" s="26">
        <f>E32+'5-28-22'!M32</f>
        <v>0</v>
      </c>
      <c r="N32" s="27">
        <f>M32/C32</f>
        <v>0</v>
      </c>
      <c r="O32" s="35">
        <f>J32+'5-28-22'!O32</f>
        <v>0</v>
      </c>
      <c r="P32" s="26" t="e">
        <f>M32/O32</f>
        <v>#DIV/0!</v>
      </c>
    </row>
    <row r="33" spans="1:16" ht="15.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7"/>
      <c r="O33" s="3"/>
      <c r="P33" s="3"/>
    </row>
    <row r="34" spans="1:16" ht="15.6" x14ac:dyDescent="0.3">
      <c r="A34" s="3"/>
      <c r="B34" s="8" t="s">
        <v>48</v>
      </c>
      <c r="C34" s="8">
        <v>115000</v>
      </c>
      <c r="D34" s="8"/>
      <c r="E34" s="8"/>
      <c r="F34" s="8"/>
      <c r="G34" s="35"/>
      <c r="H34" s="8"/>
      <c r="I34" s="16"/>
      <c r="J34" s="35">
        <f>F34*G34+H34*I34</f>
        <v>0</v>
      </c>
      <c r="K34" s="16" t="e">
        <f>E34/(J34)</f>
        <v>#DIV/0!</v>
      </c>
      <c r="L34" s="3"/>
      <c r="M34" s="26">
        <f>E34+'5-28-22'!M34</f>
        <v>0</v>
      </c>
      <c r="N34" s="27">
        <f>M34/C34</f>
        <v>0</v>
      </c>
      <c r="O34" s="35">
        <f>J34+'5-28-22'!O34</f>
        <v>0</v>
      </c>
      <c r="P34" s="26" t="e">
        <f>M34/O34</f>
        <v>#DIV/0!</v>
      </c>
    </row>
    <row r="35" spans="1:16" ht="15.6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27"/>
      <c r="O35" s="3"/>
      <c r="P35" s="3"/>
    </row>
    <row r="36" spans="1:16" ht="15.6" x14ac:dyDescent="0.3">
      <c r="A36" s="3"/>
      <c r="B36" s="8" t="s">
        <v>49</v>
      </c>
      <c r="C36" s="8">
        <v>8</v>
      </c>
      <c r="D36" s="8"/>
      <c r="E36" s="8"/>
      <c r="F36" s="8"/>
      <c r="G36" s="35"/>
      <c r="H36" s="8"/>
      <c r="I36" s="16"/>
      <c r="J36" s="35">
        <f>F36*G36+H36*I36</f>
        <v>0</v>
      </c>
      <c r="K36" s="16" t="e">
        <f>E36/(J36)</f>
        <v>#DIV/0!</v>
      </c>
      <c r="L36" s="3"/>
      <c r="M36" s="26">
        <f>E36+'5-28-22'!M36</f>
        <v>0</v>
      </c>
      <c r="N36" s="27">
        <f>M36/C36</f>
        <v>0</v>
      </c>
      <c r="O36" s="35">
        <f>J36+'5-28-22'!O36</f>
        <v>0</v>
      </c>
      <c r="P36" s="26" t="e">
        <f>M36/O36</f>
        <v>#DIV/0!</v>
      </c>
    </row>
    <row r="37" spans="1:16" ht="15.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27"/>
      <c r="O37" s="3"/>
      <c r="P37" s="3"/>
    </row>
    <row r="38" spans="1:16" ht="15.6" x14ac:dyDescent="0.3">
      <c r="A38" s="3"/>
      <c r="B38" s="8" t="s">
        <v>50</v>
      </c>
      <c r="C38" s="8">
        <f>2760+480</f>
        <v>3240</v>
      </c>
      <c r="D38" s="8"/>
      <c r="E38" s="8">
        <v>555</v>
      </c>
      <c r="F38" s="8">
        <v>3</v>
      </c>
      <c r="G38" s="35">
        <v>3</v>
      </c>
      <c r="H38" s="8"/>
      <c r="I38" s="16"/>
      <c r="J38" s="35">
        <f>F38*G38+H38*I38</f>
        <v>9</v>
      </c>
      <c r="K38" s="16">
        <f>E38/(J38)</f>
        <v>61.666666666666664</v>
      </c>
      <c r="L38" s="3"/>
      <c r="M38" s="26">
        <f>E38+'5-28-22'!M38</f>
        <v>555</v>
      </c>
      <c r="N38" s="27">
        <f>M38/C38</f>
        <v>0.17129629629629631</v>
      </c>
      <c r="O38" s="35">
        <f>J38+'5-28-22'!O38</f>
        <v>9</v>
      </c>
      <c r="P38" s="26">
        <f>M38/O38</f>
        <v>61.666666666666664</v>
      </c>
    </row>
    <row r="39" spans="1:16" ht="15.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7"/>
      <c r="O39" s="3"/>
      <c r="P39" s="3"/>
    </row>
    <row r="40" spans="1:16" ht="15.6" x14ac:dyDescent="0.3">
      <c r="A40" s="3"/>
      <c r="B40" s="8" t="s">
        <v>51</v>
      </c>
      <c r="C40" s="8">
        <v>25</v>
      </c>
      <c r="D40" s="8"/>
      <c r="E40" s="8"/>
      <c r="F40" s="8"/>
      <c r="G40" s="35"/>
      <c r="H40" s="8"/>
      <c r="I40" s="16"/>
      <c r="J40" s="35">
        <f>F40*G40+H40*I40</f>
        <v>0</v>
      </c>
      <c r="K40" s="16" t="e">
        <f>E40/(J40)</f>
        <v>#DIV/0!</v>
      </c>
      <c r="L40" s="3"/>
      <c r="M40" s="26">
        <f>E40+'5-28-22'!M40</f>
        <v>0</v>
      </c>
      <c r="N40" s="27">
        <f>M40/C40</f>
        <v>0</v>
      </c>
      <c r="O40" s="35">
        <f>J40+'5-28-22'!O40</f>
        <v>0</v>
      </c>
      <c r="P40" s="26" t="e">
        <f>M40/O40</f>
        <v>#DIV/0!</v>
      </c>
    </row>
    <row r="41" spans="1:16" ht="15.6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27"/>
      <c r="O41" s="3"/>
      <c r="P41" s="3"/>
    </row>
    <row r="42" spans="1:16" ht="15.6" x14ac:dyDescent="0.3">
      <c r="A42" s="3"/>
      <c r="B42" s="8" t="s">
        <v>75</v>
      </c>
      <c r="C42" s="8"/>
      <c r="D42" s="8"/>
      <c r="E42" s="8"/>
      <c r="F42" s="8"/>
      <c r="G42" s="35"/>
      <c r="H42" s="8"/>
      <c r="I42" s="16"/>
      <c r="J42" s="35">
        <f>F42*G42+H42*I42</f>
        <v>0</v>
      </c>
      <c r="K42" s="16" t="e">
        <f>E42/(J42)</f>
        <v>#DIV/0!</v>
      </c>
      <c r="L42" s="3"/>
      <c r="M42" s="26">
        <f>E42+'5-28-22'!M42</f>
        <v>0</v>
      </c>
      <c r="N42" s="27" t="e">
        <f>M42/C42</f>
        <v>#DIV/0!</v>
      </c>
      <c r="O42" s="35">
        <f>J42+'5-28-22'!O42</f>
        <v>123.75</v>
      </c>
      <c r="P42" s="26">
        <f>M42/O42</f>
        <v>0</v>
      </c>
    </row>
    <row r="43" spans="1:16" ht="15.6" x14ac:dyDescent="0.3">
      <c r="A43" s="3"/>
      <c r="B43" s="3" t="s">
        <v>27</v>
      </c>
      <c r="C43" s="3"/>
      <c r="D43" s="3"/>
      <c r="E43" s="3"/>
      <c r="F43" s="3"/>
      <c r="G43" s="3"/>
      <c r="H43" s="30"/>
      <c r="I43" s="4"/>
      <c r="J43" s="3">
        <f>J20+J22+J24+J26+J28+J30+J32+J34+J36+J38+J40+J42</f>
        <v>72</v>
      </c>
      <c r="K43" s="3"/>
      <c r="L43" s="3"/>
      <c r="M43" s="3"/>
      <c r="N43" s="3"/>
      <c r="O43" s="3">
        <f>O20+O22+O24+O26+O28+O30+O32+O34+O36+O38+O40+O42</f>
        <v>1017.75</v>
      </c>
      <c r="P43" s="3"/>
    </row>
    <row r="44" spans="1:16" ht="15.6" x14ac:dyDescent="0.3">
      <c r="A44" s="3"/>
      <c r="B44" s="3"/>
      <c r="C44" s="3"/>
      <c r="D44" s="3"/>
      <c r="E44" s="3"/>
      <c r="F44" s="3"/>
      <c r="G44" s="3"/>
      <c r="H44" s="3"/>
      <c r="I44" s="4"/>
      <c r="J44" s="3"/>
      <c r="K44" s="3"/>
      <c r="L44" s="3"/>
      <c r="M44" s="3"/>
      <c r="N44" s="3"/>
      <c r="O44" s="3"/>
      <c r="P44" s="3"/>
    </row>
    <row r="45" spans="1:16" ht="15.6" x14ac:dyDescent="0.3">
      <c r="A45" s="3"/>
      <c r="B45" s="3" t="s">
        <v>28</v>
      </c>
      <c r="C45" s="47" t="s">
        <v>98</v>
      </c>
      <c r="D45" s="47"/>
      <c r="E45" s="46"/>
      <c r="F45" s="3"/>
      <c r="G45" s="3"/>
      <c r="H45" s="3"/>
      <c r="I45" s="4"/>
      <c r="J45" s="3"/>
      <c r="K45" s="3"/>
      <c r="L45" s="3"/>
      <c r="M45" s="3"/>
      <c r="N45" s="3"/>
      <c r="O45" s="3"/>
      <c r="P45" s="3"/>
    </row>
    <row r="46" spans="1:16" ht="15.6" x14ac:dyDescent="0.3">
      <c r="C46" s="33"/>
    </row>
    <row r="47" spans="1:16" ht="15.6" x14ac:dyDescent="0.3">
      <c r="B47" s="3" t="s">
        <v>32</v>
      </c>
      <c r="C47" s="33" t="s">
        <v>92</v>
      </c>
    </row>
    <row r="48" spans="1:16" ht="15.6" x14ac:dyDescent="0.3">
      <c r="C48" s="33"/>
    </row>
    <row r="49" spans="2:3" ht="15.6" x14ac:dyDescent="0.3">
      <c r="B49" s="3" t="s">
        <v>33</v>
      </c>
      <c r="C49" s="3" t="s">
        <v>93</v>
      </c>
    </row>
    <row r="50" spans="2:3" ht="15.6" x14ac:dyDescent="0.3">
      <c r="C50" s="33" t="s">
        <v>94</v>
      </c>
    </row>
  </sheetData>
  <mergeCells count="2">
    <mergeCell ref="A1:G1"/>
    <mergeCell ref="H7:I7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BFD88-733B-4B98-AD0F-992F545C6AFD}">
  <dimension ref="A1:P49"/>
  <sheetViews>
    <sheetView topLeftCell="A19" zoomScale="85" zoomScaleNormal="85" workbookViewId="0">
      <selection activeCell="O44" sqref="O44"/>
    </sheetView>
  </sheetViews>
  <sheetFormatPr defaultRowHeight="14.4" x14ac:dyDescent="0.3"/>
  <cols>
    <col min="1" max="1" width="11.33203125" customWidth="1"/>
    <col min="2" max="2" width="29.33203125" customWidth="1"/>
    <col min="3" max="3" width="22.109375" customWidth="1"/>
    <col min="4" max="4" width="14.88671875" customWidth="1"/>
    <col min="5" max="5" width="16.6640625" customWidth="1"/>
    <col min="6" max="6" width="17.44140625" customWidth="1"/>
    <col min="8" max="8" width="20.44140625" customWidth="1"/>
    <col min="13" max="13" width="10.6640625" customWidth="1"/>
    <col min="15" max="15" width="10.6640625" customWidth="1"/>
  </cols>
  <sheetData>
    <row r="1" spans="1:16" ht="18" x14ac:dyDescent="0.35">
      <c r="A1" s="66" t="s">
        <v>0</v>
      </c>
      <c r="B1" s="66"/>
      <c r="C1" s="66"/>
      <c r="D1" s="66"/>
      <c r="E1" s="66"/>
      <c r="F1" s="66"/>
      <c r="G1" s="66"/>
      <c r="H1" s="1"/>
      <c r="I1" s="2"/>
      <c r="J1" s="1"/>
      <c r="K1" s="1"/>
      <c r="L1" s="1"/>
      <c r="M1" s="1"/>
      <c r="N1" s="1"/>
      <c r="O1" s="1"/>
      <c r="P1" s="1"/>
    </row>
    <row r="2" spans="1:16" ht="15.6" x14ac:dyDescent="0.3">
      <c r="A2" s="3"/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</row>
    <row r="3" spans="1:16" ht="15.6" x14ac:dyDescent="0.3">
      <c r="A3" s="3"/>
      <c r="B3" s="5" t="s">
        <v>1</v>
      </c>
      <c r="C3" s="6" t="s">
        <v>43</v>
      </c>
      <c r="D3" s="7"/>
      <c r="E3" s="3"/>
      <c r="F3" s="5" t="s">
        <v>2</v>
      </c>
      <c r="G3" s="8">
        <v>4355</v>
      </c>
      <c r="H3" s="5" t="s">
        <v>41</v>
      </c>
      <c r="I3" s="36">
        <v>49</v>
      </c>
      <c r="J3" s="3"/>
      <c r="K3" s="3"/>
      <c r="L3" s="3"/>
      <c r="M3" s="3"/>
      <c r="N3" s="3"/>
      <c r="O3" s="3"/>
      <c r="P3" s="3"/>
    </row>
    <row r="4" spans="1:16" ht="15.6" x14ac:dyDescent="0.3">
      <c r="A4" s="3"/>
      <c r="B4" s="5" t="s">
        <v>3</v>
      </c>
      <c r="C4" s="37">
        <v>300155</v>
      </c>
      <c r="D4" s="7"/>
      <c r="E4" s="3"/>
      <c r="F4" s="5" t="s">
        <v>4</v>
      </c>
      <c r="G4" s="8">
        <f>J16+'5-27-22'!G4</f>
        <v>945.75</v>
      </c>
      <c r="H4" s="34" t="s">
        <v>42</v>
      </c>
      <c r="I4" s="4">
        <v>13</v>
      </c>
      <c r="J4" s="3"/>
      <c r="K4" s="3"/>
      <c r="L4" s="3"/>
      <c r="M4" s="3"/>
      <c r="N4" s="3"/>
      <c r="O4" s="3"/>
      <c r="P4" s="3"/>
    </row>
    <row r="5" spans="1:16" ht="15.6" x14ac:dyDescent="0.3">
      <c r="A5" s="3"/>
      <c r="B5" s="5" t="s">
        <v>5</v>
      </c>
      <c r="C5" s="38">
        <v>44709</v>
      </c>
      <c r="D5" s="3"/>
      <c r="E5" s="3"/>
      <c r="F5" s="3"/>
      <c r="G5" s="3"/>
      <c r="H5" s="3"/>
      <c r="I5" s="4"/>
      <c r="J5" s="3"/>
      <c r="K5" s="3"/>
      <c r="L5" s="3"/>
      <c r="M5" s="3"/>
      <c r="N5" s="3"/>
      <c r="O5" s="3"/>
      <c r="P5" s="3"/>
    </row>
    <row r="6" spans="1:16" ht="15.6" x14ac:dyDescent="0.3">
      <c r="A6" s="3"/>
      <c r="B6" s="5"/>
      <c r="C6" s="3"/>
      <c r="D6" s="3"/>
      <c r="E6" s="3"/>
      <c r="F6" s="3"/>
      <c r="G6" s="3"/>
      <c r="H6" s="3"/>
      <c r="I6" s="4"/>
      <c r="J6" s="3"/>
      <c r="K6" s="3"/>
      <c r="L6" s="3"/>
      <c r="M6" s="3"/>
      <c r="N6" s="3"/>
      <c r="O6" s="3"/>
      <c r="P6" s="3"/>
    </row>
    <row r="7" spans="1:16" ht="15.6" x14ac:dyDescent="0.3">
      <c r="A7" s="10" t="s">
        <v>6</v>
      </c>
      <c r="B7" s="11"/>
      <c r="C7" s="12" t="s">
        <v>7</v>
      </c>
      <c r="D7" s="3"/>
      <c r="E7" s="12" t="s">
        <v>8</v>
      </c>
      <c r="F7" s="12" t="s">
        <v>34</v>
      </c>
      <c r="G7" s="3"/>
      <c r="H7" s="67" t="s">
        <v>7</v>
      </c>
      <c r="I7" s="67"/>
      <c r="J7" s="12" t="s">
        <v>8</v>
      </c>
      <c r="K7" s="3"/>
      <c r="L7" s="3"/>
      <c r="M7" s="3"/>
      <c r="N7" s="3"/>
      <c r="O7" s="3"/>
      <c r="P7" s="3"/>
    </row>
    <row r="8" spans="1:16" ht="15.6" x14ac:dyDescent="0.3">
      <c r="A8" s="13">
        <v>1</v>
      </c>
      <c r="B8" s="5" t="s">
        <v>9</v>
      </c>
      <c r="C8" s="14" t="s">
        <v>35</v>
      </c>
      <c r="D8" s="15"/>
      <c r="E8" s="35">
        <v>8.5</v>
      </c>
      <c r="F8" s="16">
        <v>66</v>
      </c>
      <c r="G8" s="11">
        <v>9</v>
      </c>
      <c r="H8" s="14" t="s">
        <v>40</v>
      </c>
      <c r="I8" s="8"/>
      <c r="J8" s="39">
        <v>8.5</v>
      </c>
      <c r="K8" s="3"/>
      <c r="L8" s="3"/>
      <c r="M8" s="3"/>
      <c r="N8" s="3"/>
      <c r="O8" s="3"/>
      <c r="P8" s="3"/>
    </row>
    <row r="9" spans="1:16" ht="15.6" x14ac:dyDescent="0.3">
      <c r="A9" s="13">
        <v>2</v>
      </c>
      <c r="B9" s="5" t="s">
        <v>10</v>
      </c>
      <c r="C9" s="14" t="s">
        <v>37</v>
      </c>
      <c r="D9" s="8"/>
      <c r="E9" s="35">
        <v>8.5</v>
      </c>
      <c r="F9" s="16"/>
      <c r="G9" s="11">
        <v>10</v>
      </c>
      <c r="H9" s="14"/>
      <c r="I9" s="8"/>
      <c r="J9" s="39"/>
      <c r="K9" s="3"/>
      <c r="L9" s="3"/>
      <c r="M9" s="3"/>
      <c r="N9" s="3"/>
      <c r="O9" s="3"/>
      <c r="P9" s="3"/>
    </row>
    <row r="10" spans="1:16" ht="15.6" x14ac:dyDescent="0.3">
      <c r="A10" s="13">
        <v>3</v>
      </c>
      <c r="B10" s="5" t="s">
        <v>11</v>
      </c>
      <c r="C10" s="14" t="s">
        <v>36</v>
      </c>
      <c r="D10" s="8"/>
      <c r="E10" s="35">
        <v>8.5</v>
      </c>
      <c r="F10" s="16">
        <v>78</v>
      </c>
      <c r="G10" s="11">
        <v>11</v>
      </c>
      <c r="H10" s="3"/>
      <c r="I10" s="8"/>
      <c r="J10" s="39"/>
      <c r="K10" s="3"/>
      <c r="L10" s="3"/>
      <c r="M10" s="3"/>
      <c r="N10" s="3"/>
      <c r="O10" s="3"/>
      <c r="P10" s="3"/>
    </row>
    <row r="11" spans="1:16" ht="15.6" x14ac:dyDescent="0.3">
      <c r="A11" s="13">
        <v>4</v>
      </c>
      <c r="B11" s="5" t="s">
        <v>12</v>
      </c>
      <c r="C11" s="14" t="s">
        <v>29</v>
      </c>
      <c r="D11" s="8"/>
      <c r="E11" s="35">
        <v>8.5</v>
      </c>
      <c r="F11" s="16"/>
      <c r="G11" s="11">
        <v>12</v>
      </c>
      <c r="H11" s="3"/>
      <c r="I11" s="8"/>
      <c r="J11" s="39"/>
      <c r="K11" s="3"/>
      <c r="L11" s="3"/>
      <c r="M11" s="3"/>
      <c r="N11" s="3"/>
      <c r="O11" s="3"/>
      <c r="P11" s="3"/>
    </row>
    <row r="12" spans="1:16" ht="15.6" x14ac:dyDescent="0.3">
      <c r="A12" s="13">
        <v>5</v>
      </c>
      <c r="B12" s="3"/>
      <c r="C12" s="31" t="s">
        <v>30</v>
      </c>
      <c r="D12" s="8"/>
      <c r="E12" s="35">
        <v>8.5</v>
      </c>
      <c r="F12" s="16"/>
      <c r="G12" s="11">
        <v>13</v>
      </c>
      <c r="H12" s="3"/>
      <c r="I12" s="8"/>
      <c r="J12" s="39"/>
      <c r="K12" s="3"/>
      <c r="L12" s="3"/>
      <c r="M12" s="3"/>
      <c r="N12" s="3"/>
      <c r="O12" s="3"/>
      <c r="P12" s="3"/>
    </row>
    <row r="13" spans="1:16" ht="15.6" x14ac:dyDescent="0.3">
      <c r="A13" s="13">
        <v>6</v>
      </c>
      <c r="B13" s="3"/>
      <c r="C13" s="14" t="s">
        <v>31</v>
      </c>
      <c r="D13" s="8"/>
      <c r="E13" s="35">
        <v>8.5</v>
      </c>
      <c r="F13" s="16">
        <v>74</v>
      </c>
      <c r="G13" s="11">
        <v>14</v>
      </c>
      <c r="H13" s="18"/>
      <c r="I13" s="8"/>
      <c r="J13" s="39"/>
      <c r="K13" s="3"/>
      <c r="L13" s="3"/>
      <c r="M13" s="3"/>
      <c r="N13" s="3"/>
      <c r="O13" s="3"/>
      <c r="P13" s="3"/>
    </row>
    <row r="14" spans="1:16" ht="15.6" x14ac:dyDescent="0.3">
      <c r="A14" s="13">
        <v>7</v>
      </c>
      <c r="B14" s="5" t="s">
        <v>52</v>
      </c>
      <c r="C14" s="14" t="s">
        <v>39</v>
      </c>
      <c r="D14" s="8"/>
      <c r="E14" s="35">
        <v>8.5</v>
      </c>
      <c r="F14" s="16"/>
      <c r="G14" s="11">
        <v>15</v>
      </c>
      <c r="H14" s="3"/>
      <c r="I14" s="8"/>
      <c r="J14" s="39"/>
      <c r="K14" s="3"/>
      <c r="L14" s="3"/>
      <c r="M14" s="3"/>
      <c r="N14" s="3"/>
      <c r="O14" s="3"/>
      <c r="P14" s="3"/>
    </row>
    <row r="15" spans="1:16" ht="15.6" x14ac:dyDescent="0.3">
      <c r="A15" s="13">
        <v>8</v>
      </c>
      <c r="B15" s="3"/>
      <c r="C15" s="14" t="s">
        <v>38</v>
      </c>
      <c r="D15" s="8"/>
      <c r="E15" s="35">
        <v>8.5</v>
      </c>
      <c r="F15" s="16"/>
      <c r="G15" s="11">
        <v>16</v>
      </c>
      <c r="H15" s="3"/>
      <c r="I15" s="8"/>
      <c r="J15" s="39"/>
      <c r="K15" s="3"/>
      <c r="L15" s="3"/>
      <c r="M15" s="3"/>
      <c r="N15" s="3"/>
      <c r="O15" s="3"/>
      <c r="P15" s="3"/>
    </row>
    <row r="16" spans="1:16" ht="15.6" x14ac:dyDescent="0.3">
      <c r="A16" s="3"/>
      <c r="B16" s="3"/>
      <c r="C16" s="3"/>
      <c r="D16" s="3"/>
      <c r="E16" s="3"/>
      <c r="F16" s="3"/>
      <c r="G16" s="13"/>
      <c r="H16" s="7" t="s">
        <v>13</v>
      </c>
      <c r="I16" s="3"/>
      <c r="J16" s="8">
        <f>SUM(E8:E15)+SUM(J8:J15)</f>
        <v>76.5</v>
      </c>
      <c r="K16" s="3"/>
      <c r="L16" s="3"/>
      <c r="M16" s="3"/>
      <c r="N16" s="3"/>
      <c r="O16" s="3"/>
      <c r="P16" s="3"/>
    </row>
    <row r="17" spans="1:16" ht="15.6" x14ac:dyDescent="0.3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  <c r="L17" s="3"/>
      <c r="M17" s="3"/>
      <c r="N17" s="3"/>
      <c r="O17" s="3"/>
      <c r="P17" s="3"/>
    </row>
    <row r="18" spans="1:16" ht="93.6" x14ac:dyDescent="0.3">
      <c r="A18" s="19"/>
      <c r="B18" s="20" t="s">
        <v>14</v>
      </c>
      <c r="C18" s="21" t="s">
        <v>15</v>
      </c>
      <c r="D18" s="22" t="s">
        <v>16</v>
      </c>
      <c r="E18" s="22" t="s">
        <v>17</v>
      </c>
      <c r="F18" s="22" t="s">
        <v>18</v>
      </c>
      <c r="G18" s="22" t="s">
        <v>19</v>
      </c>
      <c r="H18" s="22" t="s">
        <v>18</v>
      </c>
      <c r="I18" s="22" t="s">
        <v>19</v>
      </c>
      <c r="J18" s="22" t="s">
        <v>20</v>
      </c>
      <c r="K18" s="23" t="s">
        <v>21</v>
      </c>
      <c r="L18" s="24"/>
      <c r="M18" s="23" t="s">
        <v>22</v>
      </c>
      <c r="N18" s="23" t="s">
        <v>23</v>
      </c>
      <c r="O18" s="23" t="s">
        <v>24</v>
      </c>
      <c r="P18" s="23" t="s">
        <v>25</v>
      </c>
    </row>
    <row r="19" spans="1:16" ht="15.6" x14ac:dyDescent="0.3">
      <c r="A19" s="19"/>
      <c r="B19" s="19"/>
      <c r="C19" s="24"/>
      <c r="D19" s="24"/>
      <c r="E19" s="24"/>
      <c r="F19" s="24"/>
      <c r="G19" s="24"/>
      <c r="H19" s="24"/>
      <c r="I19" s="24"/>
      <c r="J19" s="24"/>
      <c r="K19" s="25"/>
      <c r="L19" s="24"/>
      <c r="M19" s="3"/>
      <c r="N19" s="3"/>
      <c r="O19" s="3"/>
      <c r="P19" s="3"/>
    </row>
    <row r="20" spans="1:16" ht="15.6" x14ac:dyDescent="0.3">
      <c r="A20" s="3"/>
      <c r="B20" s="8" t="s">
        <v>26</v>
      </c>
      <c r="C20" s="8">
        <v>1</v>
      </c>
      <c r="D20" s="8">
        <v>1</v>
      </c>
      <c r="E20" s="8"/>
      <c r="F20" s="8"/>
      <c r="G20" s="35">
        <v>0</v>
      </c>
      <c r="H20" s="8"/>
      <c r="I20" s="16"/>
      <c r="J20" s="35">
        <f>F20*G20+H20*I20</f>
        <v>0</v>
      </c>
      <c r="K20" s="16" t="e">
        <f>E20/(J20)</f>
        <v>#DIV/0!</v>
      </c>
      <c r="L20" s="3"/>
      <c r="M20" s="26">
        <v>0</v>
      </c>
      <c r="N20" s="27">
        <f>M20/C20</f>
        <v>0</v>
      </c>
      <c r="O20" s="35">
        <f>J20+'5-27-22'!O20</f>
        <v>108</v>
      </c>
      <c r="P20" s="26">
        <f>M20/O20</f>
        <v>0</v>
      </c>
    </row>
    <row r="21" spans="1:16" ht="15.6" x14ac:dyDescent="0.3">
      <c r="A21" s="3"/>
      <c r="B21" s="3"/>
      <c r="C21" s="3"/>
      <c r="D21" s="3"/>
      <c r="E21" s="3"/>
      <c r="F21" s="3"/>
      <c r="G21" s="40"/>
      <c r="H21" s="3"/>
      <c r="I21" s="28"/>
      <c r="J21" s="40"/>
      <c r="K21" s="28"/>
      <c r="L21" s="3"/>
      <c r="M21" s="29"/>
      <c r="N21" s="3"/>
      <c r="O21" s="3"/>
      <c r="P21" s="3"/>
    </row>
    <row r="22" spans="1:16" ht="15.6" x14ac:dyDescent="0.3">
      <c r="A22" s="3"/>
      <c r="B22" s="8" t="s">
        <v>53</v>
      </c>
      <c r="C22" s="8">
        <v>125400</v>
      </c>
      <c r="D22" s="41"/>
      <c r="E22" s="41"/>
      <c r="F22" s="8"/>
      <c r="G22" s="35"/>
      <c r="H22" s="8"/>
      <c r="I22" s="16"/>
      <c r="J22" s="35">
        <f>F22*G22+H22*I22</f>
        <v>0</v>
      </c>
      <c r="K22" s="16" t="e">
        <f>E22/(J22)</f>
        <v>#DIV/0!</v>
      </c>
      <c r="L22" s="3"/>
      <c r="M22" s="26">
        <f>E22+'5-27-22'!M22</f>
        <v>125400</v>
      </c>
      <c r="N22" s="27">
        <f>M22/C22</f>
        <v>1</v>
      </c>
      <c r="O22" s="35">
        <f>J22+'5-27-22'!O22</f>
        <v>538.75</v>
      </c>
      <c r="P22" s="26">
        <f>M22/O22</f>
        <v>232.76102088167053</v>
      </c>
    </row>
    <row r="23" spans="1:16" ht="15.6" x14ac:dyDescent="0.3">
      <c r="A23" s="3"/>
      <c r="B23" s="3"/>
      <c r="C23" s="3"/>
      <c r="D23" s="3"/>
      <c r="E23" s="3"/>
      <c r="F23" s="3"/>
      <c r="G23" s="40"/>
      <c r="H23" s="3"/>
      <c r="I23" s="28"/>
      <c r="J23" s="40"/>
      <c r="K23" s="28"/>
      <c r="L23" s="3"/>
      <c r="M23" s="29"/>
      <c r="N23" s="3"/>
      <c r="O23" s="36"/>
      <c r="P23" s="29"/>
    </row>
    <row r="24" spans="1:16" ht="15.6" x14ac:dyDescent="0.3">
      <c r="A24" s="3"/>
      <c r="B24" s="8" t="s">
        <v>54</v>
      </c>
      <c r="C24" s="8">
        <v>125400</v>
      </c>
      <c r="D24" s="8"/>
      <c r="E24" s="8"/>
      <c r="F24" s="43">
        <v>9</v>
      </c>
      <c r="G24" s="45">
        <v>8.5</v>
      </c>
      <c r="H24" s="8"/>
      <c r="I24" s="16"/>
      <c r="J24" s="35">
        <f>F24*G24+H24*I24</f>
        <v>76.5</v>
      </c>
      <c r="K24" s="16">
        <f>E24/(J24)</f>
        <v>0</v>
      </c>
      <c r="L24" s="3"/>
      <c r="M24" s="26">
        <f>E24+'5-27-22'!M24</f>
        <v>0</v>
      </c>
      <c r="N24" s="27">
        <f>M24/C24</f>
        <v>0</v>
      </c>
      <c r="O24" s="35">
        <f>J24+'5-27-22'!O24</f>
        <v>175.25</v>
      </c>
      <c r="P24" s="26">
        <f>M24/O24</f>
        <v>0</v>
      </c>
    </row>
    <row r="25" spans="1:16" ht="15.6" x14ac:dyDescent="0.3">
      <c r="A25" s="3"/>
      <c r="B25" s="3"/>
      <c r="C25" s="3"/>
      <c r="D25" s="3"/>
      <c r="E25" s="3"/>
      <c r="F25" s="3"/>
      <c r="G25" s="36"/>
      <c r="H25" s="3"/>
      <c r="I25" s="4"/>
      <c r="J25" s="36"/>
      <c r="K25" s="4"/>
      <c r="L25" s="3"/>
      <c r="M25" s="29"/>
      <c r="N25" s="3"/>
      <c r="O25" s="3"/>
      <c r="P25" s="3"/>
    </row>
    <row r="26" spans="1:16" ht="15.6" x14ac:dyDescent="0.3">
      <c r="A26" s="3"/>
      <c r="B26" s="8" t="s">
        <v>44</v>
      </c>
      <c r="C26" s="8">
        <v>3040</v>
      </c>
      <c r="D26" s="8"/>
      <c r="E26" s="8"/>
      <c r="F26" s="8"/>
      <c r="G26" s="35"/>
      <c r="H26" s="8"/>
      <c r="I26" s="16"/>
      <c r="J26" s="35">
        <f>F26*G26+H26*I26</f>
        <v>0</v>
      </c>
      <c r="K26" s="16" t="e">
        <f>E26/(J26)</f>
        <v>#DIV/0!</v>
      </c>
      <c r="L26" s="3"/>
      <c r="M26" s="26">
        <f>E26+'5-27-22'!M26</f>
        <v>0</v>
      </c>
      <c r="N26" s="27">
        <f>M26/C26</f>
        <v>0</v>
      </c>
      <c r="O26" s="35">
        <f>J26+'5-27-22'!O26</f>
        <v>0</v>
      </c>
      <c r="P26" s="26" t="e">
        <f>M26/O26</f>
        <v>#DIV/0!</v>
      </c>
    </row>
    <row r="27" spans="1:16" ht="15.6" x14ac:dyDescent="0.3">
      <c r="A27" s="3"/>
      <c r="B27" s="3"/>
      <c r="C27" s="3"/>
      <c r="D27" s="3"/>
      <c r="E27" s="3"/>
      <c r="F27" s="3"/>
      <c r="G27" s="36"/>
      <c r="H27" s="3"/>
      <c r="I27" s="4"/>
      <c r="J27" s="36"/>
      <c r="K27" s="4"/>
      <c r="L27" s="3"/>
      <c r="M27" s="29"/>
      <c r="N27" s="3"/>
      <c r="O27" s="3"/>
      <c r="P27" s="3"/>
    </row>
    <row r="28" spans="1:16" ht="15.6" x14ac:dyDescent="0.3">
      <c r="A28" s="3"/>
      <c r="B28" s="8" t="s">
        <v>45</v>
      </c>
      <c r="C28" s="8">
        <v>3040</v>
      </c>
      <c r="D28" s="8"/>
      <c r="E28" s="8"/>
      <c r="F28" s="8"/>
      <c r="G28" s="35"/>
      <c r="H28" s="8"/>
      <c r="I28" s="16"/>
      <c r="J28" s="35">
        <f>F28*G28+H28*I28</f>
        <v>0</v>
      </c>
      <c r="K28" s="16" t="e">
        <f>E28/(J28)</f>
        <v>#DIV/0!</v>
      </c>
      <c r="L28" s="3"/>
      <c r="M28" s="26">
        <f>E28+'5-27-22'!M28</f>
        <v>0</v>
      </c>
      <c r="N28" s="27">
        <f>M28/C28</f>
        <v>0</v>
      </c>
      <c r="O28" s="35">
        <f>J28+'5-27-22'!O28</f>
        <v>0</v>
      </c>
      <c r="P28" s="26" t="e">
        <f>M28/O28</f>
        <v>#DIV/0!</v>
      </c>
    </row>
    <row r="29" spans="1:16" ht="15.6" x14ac:dyDescent="0.3">
      <c r="A29" s="3"/>
      <c r="B29" s="3"/>
      <c r="C29" s="3"/>
      <c r="D29" s="3"/>
      <c r="E29" s="3"/>
      <c r="F29" s="3"/>
      <c r="G29" s="36"/>
      <c r="H29" s="3"/>
      <c r="I29" s="4"/>
      <c r="J29" s="36"/>
      <c r="K29" s="4"/>
      <c r="L29" s="3"/>
      <c r="M29" s="29"/>
      <c r="N29" s="3"/>
      <c r="O29" s="3"/>
      <c r="P29" s="3"/>
    </row>
    <row r="30" spans="1:16" ht="15.6" x14ac:dyDescent="0.3">
      <c r="A30" s="3"/>
      <c r="B30" s="8" t="s">
        <v>47</v>
      </c>
      <c r="C30" s="8">
        <v>125400</v>
      </c>
      <c r="D30" s="8"/>
      <c r="E30" s="8"/>
      <c r="F30" s="8"/>
      <c r="G30" s="35"/>
      <c r="H30" s="8"/>
      <c r="I30" s="16"/>
      <c r="J30" s="35">
        <f>F30*G30+H30*I30</f>
        <v>0</v>
      </c>
      <c r="K30" s="16" t="e">
        <f>E30/(J30)</f>
        <v>#DIV/0!</v>
      </c>
      <c r="L30" s="3"/>
      <c r="M30" s="26">
        <f>E30+'5-27-22'!M30</f>
        <v>0</v>
      </c>
      <c r="N30" s="27">
        <f>M30/C30</f>
        <v>0</v>
      </c>
      <c r="O30" s="35">
        <f>J30+'5-27-22'!O30</f>
        <v>0</v>
      </c>
      <c r="P30" s="26" t="e">
        <f>M30/O30</f>
        <v>#DIV/0!</v>
      </c>
    </row>
    <row r="31" spans="1:16" ht="15.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7"/>
      <c r="O31" s="3"/>
      <c r="P31" s="3"/>
    </row>
    <row r="32" spans="1:16" ht="15.6" x14ac:dyDescent="0.3">
      <c r="A32" s="3"/>
      <c r="B32" s="8" t="s">
        <v>46</v>
      </c>
      <c r="C32" s="8">
        <v>324</v>
      </c>
      <c r="D32" s="8"/>
      <c r="E32" s="8"/>
      <c r="F32" s="8"/>
      <c r="G32" s="35"/>
      <c r="H32" s="8"/>
      <c r="I32" s="16"/>
      <c r="J32" s="35">
        <f>F32*G32+H32*I32</f>
        <v>0</v>
      </c>
      <c r="K32" s="16" t="e">
        <f>E32/(J32)</f>
        <v>#DIV/0!</v>
      </c>
      <c r="L32" s="3"/>
      <c r="M32" s="26">
        <f>E32+'5-27-22'!M32</f>
        <v>0</v>
      </c>
      <c r="N32" s="27">
        <f>M32/C32</f>
        <v>0</v>
      </c>
      <c r="O32" s="35">
        <f>J32+'5-27-22'!O32</f>
        <v>0</v>
      </c>
      <c r="P32" s="26" t="e">
        <f>M32/O32</f>
        <v>#DIV/0!</v>
      </c>
    </row>
    <row r="33" spans="1:16" ht="15.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7"/>
      <c r="O33" s="3"/>
      <c r="P33" s="3"/>
    </row>
    <row r="34" spans="1:16" ht="15.6" x14ac:dyDescent="0.3">
      <c r="A34" s="3"/>
      <c r="B34" s="8" t="s">
        <v>48</v>
      </c>
      <c r="C34" s="8">
        <v>115000</v>
      </c>
      <c r="D34" s="8"/>
      <c r="E34" s="8"/>
      <c r="F34" s="8"/>
      <c r="G34" s="35"/>
      <c r="H34" s="8"/>
      <c r="I34" s="16"/>
      <c r="J34" s="35">
        <f>F34*G34+H34*I34</f>
        <v>0</v>
      </c>
      <c r="K34" s="16" t="e">
        <f>E34/(J34)</f>
        <v>#DIV/0!</v>
      </c>
      <c r="L34" s="3"/>
      <c r="M34" s="26">
        <f>E34+'5-27-22'!M34</f>
        <v>0</v>
      </c>
      <c r="N34" s="27">
        <f>M34/C34</f>
        <v>0</v>
      </c>
      <c r="O34" s="35">
        <f>J34+'5-27-22'!O34</f>
        <v>0</v>
      </c>
      <c r="P34" s="26" t="e">
        <f>M34/O34</f>
        <v>#DIV/0!</v>
      </c>
    </row>
    <row r="35" spans="1:16" ht="15.6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27"/>
      <c r="O35" s="3"/>
      <c r="P35" s="3"/>
    </row>
    <row r="36" spans="1:16" ht="15.6" x14ac:dyDescent="0.3">
      <c r="A36" s="3"/>
      <c r="B36" s="8" t="s">
        <v>49</v>
      </c>
      <c r="C36" s="8">
        <v>8</v>
      </c>
      <c r="D36" s="8"/>
      <c r="E36" s="8"/>
      <c r="F36" s="8"/>
      <c r="G36" s="35"/>
      <c r="H36" s="8"/>
      <c r="I36" s="16"/>
      <c r="J36" s="35">
        <f>F36*G36+H36*I36</f>
        <v>0</v>
      </c>
      <c r="K36" s="16" t="e">
        <f>E36/(J36)</f>
        <v>#DIV/0!</v>
      </c>
      <c r="L36" s="3"/>
      <c r="M36" s="26">
        <f>E36+'5-27-22'!M36</f>
        <v>0</v>
      </c>
      <c r="N36" s="27">
        <f>M36/C36</f>
        <v>0</v>
      </c>
      <c r="O36" s="35">
        <f>J36+'5-27-22'!O36</f>
        <v>0</v>
      </c>
      <c r="P36" s="26" t="e">
        <f>M36/O36</f>
        <v>#DIV/0!</v>
      </c>
    </row>
    <row r="37" spans="1:16" ht="15.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27"/>
      <c r="O37" s="3"/>
      <c r="P37" s="3"/>
    </row>
    <row r="38" spans="1:16" ht="15.6" x14ac:dyDescent="0.3">
      <c r="A38" s="3"/>
      <c r="B38" s="8" t="s">
        <v>50</v>
      </c>
      <c r="C38" s="8">
        <f>2760+480</f>
        <v>3240</v>
      </c>
      <c r="D38" s="8"/>
      <c r="E38" s="8"/>
      <c r="F38" s="8"/>
      <c r="G38" s="35"/>
      <c r="H38" s="8"/>
      <c r="I38" s="16"/>
      <c r="J38" s="35">
        <f>F38*G38+H38*I38</f>
        <v>0</v>
      </c>
      <c r="K38" s="16" t="e">
        <f>E38/(J38)</f>
        <v>#DIV/0!</v>
      </c>
      <c r="L38" s="3"/>
      <c r="M38" s="26">
        <f>E38+'5-27-22'!M38</f>
        <v>0</v>
      </c>
      <c r="N38" s="27">
        <f>M38/C38</f>
        <v>0</v>
      </c>
      <c r="O38" s="35">
        <f>J38+'5-27-22'!O38</f>
        <v>0</v>
      </c>
      <c r="P38" s="26" t="e">
        <f>M38/O38</f>
        <v>#DIV/0!</v>
      </c>
    </row>
    <row r="39" spans="1:16" ht="15.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7"/>
      <c r="O39" s="3"/>
      <c r="P39" s="3"/>
    </row>
    <row r="40" spans="1:16" ht="15.6" x14ac:dyDescent="0.3">
      <c r="A40" s="3"/>
      <c r="B40" s="8" t="s">
        <v>51</v>
      </c>
      <c r="C40" s="8">
        <v>25</v>
      </c>
      <c r="D40" s="8"/>
      <c r="E40" s="8"/>
      <c r="F40" s="8"/>
      <c r="G40" s="35"/>
      <c r="H40" s="8"/>
      <c r="I40" s="16"/>
      <c r="J40" s="35">
        <f>F40*G40+H40*I40</f>
        <v>0</v>
      </c>
      <c r="K40" s="16" t="e">
        <f>E40/(J40)</f>
        <v>#DIV/0!</v>
      </c>
      <c r="L40" s="3"/>
      <c r="M40" s="26">
        <f>E40+'5-27-22'!M40</f>
        <v>0</v>
      </c>
      <c r="N40" s="27">
        <f>M40/C40</f>
        <v>0</v>
      </c>
      <c r="O40" s="35">
        <f>J40+'5-27-22'!O40</f>
        <v>0</v>
      </c>
      <c r="P40" s="26" t="e">
        <f>M40/O40</f>
        <v>#DIV/0!</v>
      </c>
    </row>
    <row r="41" spans="1:16" ht="15.6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27"/>
      <c r="O41" s="3"/>
      <c r="P41" s="3"/>
    </row>
    <row r="42" spans="1:16" ht="15.6" x14ac:dyDescent="0.3">
      <c r="A42" s="3"/>
      <c r="B42" s="8" t="s">
        <v>75</v>
      </c>
      <c r="C42" s="8"/>
      <c r="D42" s="8"/>
      <c r="E42" s="8"/>
      <c r="F42" s="8"/>
      <c r="G42" s="35"/>
      <c r="H42" s="8"/>
      <c r="I42" s="16"/>
      <c r="J42" s="35">
        <f>F42*G42+H42*I42</f>
        <v>0</v>
      </c>
      <c r="K42" s="16" t="e">
        <f>E42/(J42)</f>
        <v>#DIV/0!</v>
      </c>
      <c r="L42" s="3"/>
      <c r="M42" s="26">
        <f>E42+'5-27-22'!M42</f>
        <v>0</v>
      </c>
      <c r="N42" s="27" t="e">
        <f>M42/C42</f>
        <v>#DIV/0!</v>
      </c>
      <c r="O42" s="35">
        <f>J42+'5-27-22'!O42</f>
        <v>123.75</v>
      </c>
      <c r="P42" s="26">
        <f>M42/O42</f>
        <v>0</v>
      </c>
    </row>
    <row r="43" spans="1:16" ht="15.6" x14ac:dyDescent="0.3">
      <c r="A43" s="3"/>
      <c r="B43" s="3" t="s">
        <v>27</v>
      </c>
      <c r="C43" s="3"/>
      <c r="D43" s="3"/>
      <c r="E43" s="3"/>
      <c r="F43" s="3"/>
      <c r="G43" s="3"/>
      <c r="H43" s="30"/>
      <c r="I43" s="4"/>
      <c r="J43" s="3">
        <f>J20+J22+J24+J26+J28+J30+J32+J34+J36+J38+J40+J42</f>
        <v>76.5</v>
      </c>
      <c r="K43" s="3"/>
      <c r="L43" s="3"/>
      <c r="M43" s="3"/>
      <c r="N43" s="3"/>
      <c r="O43" s="3">
        <f>O20+O22+O24+O26+O28+O30+O32+O34+O36+O38+O40+O42</f>
        <v>945.75</v>
      </c>
      <c r="P43" s="3"/>
    </row>
    <row r="44" spans="1:16" ht="15.6" x14ac:dyDescent="0.3">
      <c r="A44" s="3"/>
      <c r="B44" s="3"/>
      <c r="C44" s="3"/>
      <c r="D44" s="3"/>
      <c r="E44" s="3"/>
      <c r="F44" s="3"/>
      <c r="G44" s="3"/>
      <c r="H44" s="3"/>
      <c r="I44" s="4"/>
      <c r="J44" s="3"/>
      <c r="K44" s="3"/>
      <c r="L44" s="3"/>
      <c r="M44" s="3"/>
      <c r="N44" s="3"/>
      <c r="O44" s="3"/>
      <c r="P44" s="3"/>
    </row>
    <row r="45" spans="1:16" ht="15.6" x14ac:dyDescent="0.3">
      <c r="A45" s="3"/>
      <c r="B45" s="3" t="s">
        <v>28</v>
      </c>
      <c r="C45" s="46" t="s">
        <v>99</v>
      </c>
      <c r="D45" s="46"/>
      <c r="E45" s="46"/>
      <c r="F45" s="3"/>
      <c r="G45" s="3"/>
      <c r="H45" s="3"/>
      <c r="I45" s="4"/>
      <c r="J45" s="3"/>
      <c r="K45" s="3"/>
      <c r="L45" s="3"/>
      <c r="M45" s="3"/>
      <c r="N45" s="3"/>
      <c r="O45" s="3"/>
      <c r="P45" s="3"/>
    </row>
    <row r="46" spans="1:16" ht="15.6" x14ac:dyDescent="0.3">
      <c r="C46" s="33"/>
    </row>
    <row r="47" spans="1:16" ht="15.6" x14ac:dyDescent="0.3">
      <c r="B47" s="3" t="s">
        <v>32</v>
      </c>
      <c r="C47" s="33" t="s">
        <v>90</v>
      </c>
    </row>
    <row r="48" spans="1:16" ht="15.6" x14ac:dyDescent="0.3">
      <c r="C48" s="33"/>
    </row>
    <row r="49" spans="2:3" ht="15.6" x14ac:dyDescent="0.3">
      <c r="B49" s="3" t="s">
        <v>33</v>
      </c>
      <c r="C49" s="3" t="s">
        <v>91</v>
      </c>
    </row>
  </sheetData>
  <mergeCells count="2">
    <mergeCell ref="A1:G1"/>
    <mergeCell ref="H7:I7"/>
  </mergeCell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F592D-A73A-459D-B245-16E76976C309}">
  <dimension ref="A1:R49"/>
  <sheetViews>
    <sheetView zoomScale="85" zoomScaleNormal="85" workbookViewId="0">
      <selection activeCell="O34" sqref="O34"/>
    </sheetView>
  </sheetViews>
  <sheetFormatPr defaultRowHeight="14.4" x14ac:dyDescent="0.3"/>
  <cols>
    <col min="1" max="1" width="11.33203125" customWidth="1"/>
    <col min="2" max="2" width="29.33203125" customWidth="1"/>
    <col min="3" max="3" width="22.109375" customWidth="1"/>
    <col min="4" max="4" width="14.88671875" customWidth="1"/>
    <col min="5" max="5" width="16.6640625" customWidth="1"/>
    <col min="6" max="6" width="17.44140625" customWidth="1"/>
    <col min="8" max="8" width="20.44140625" customWidth="1"/>
    <col min="13" max="13" width="10.6640625" customWidth="1"/>
    <col min="15" max="15" width="10.6640625" customWidth="1"/>
  </cols>
  <sheetData>
    <row r="1" spans="1:16" ht="18" x14ac:dyDescent="0.35">
      <c r="A1" s="66" t="s">
        <v>0</v>
      </c>
      <c r="B1" s="66"/>
      <c r="C1" s="66"/>
      <c r="D1" s="66"/>
      <c r="E1" s="66"/>
      <c r="F1" s="66"/>
      <c r="G1" s="66"/>
      <c r="H1" s="1"/>
      <c r="I1" s="2"/>
      <c r="J1" s="1"/>
      <c r="K1" s="1"/>
      <c r="L1" s="1"/>
      <c r="M1" s="1"/>
      <c r="N1" s="1"/>
      <c r="O1" s="1"/>
      <c r="P1" s="1"/>
    </row>
    <row r="2" spans="1:16" ht="15.6" x14ac:dyDescent="0.3">
      <c r="A2" s="3"/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</row>
    <row r="3" spans="1:16" ht="15.6" x14ac:dyDescent="0.3">
      <c r="A3" s="3"/>
      <c r="B3" s="5" t="s">
        <v>1</v>
      </c>
      <c r="C3" s="6" t="s">
        <v>43</v>
      </c>
      <c r="D3" s="7"/>
      <c r="E3" s="3"/>
      <c r="F3" s="5" t="s">
        <v>2</v>
      </c>
      <c r="G3" s="8">
        <v>4355</v>
      </c>
      <c r="H3" s="5" t="s">
        <v>41</v>
      </c>
      <c r="I3" s="36">
        <v>49</v>
      </c>
      <c r="J3" s="3"/>
      <c r="K3" s="3"/>
      <c r="L3" s="3"/>
      <c r="M3" s="3"/>
      <c r="N3" s="3"/>
      <c r="O3" s="3"/>
      <c r="P3" s="3"/>
    </row>
    <row r="4" spans="1:16" ht="15.6" x14ac:dyDescent="0.3">
      <c r="A4" s="3"/>
      <c r="B4" s="5" t="s">
        <v>3</v>
      </c>
      <c r="C4" s="37">
        <v>300155</v>
      </c>
      <c r="D4" s="7"/>
      <c r="E4" s="3"/>
      <c r="F4" s="5" t="s">
        <v>4</v>
      </c>
      <c r="G4" s="8">
        <f>J16+'5-26-22'!G4</f>
        <v>869.25</v>
      </c>
      <c r="H4" s="34" t="s">
        <v>42</v>
      </c>
      <c r="I4" s="4">
        <v>12</v>
      </c>
      <c r="J4" s="3"/>
      <c r="K4" s="3"/>
      <c r="L4" s="3"/>
      <c r="M4" s="3"/>
      <c r="N4" s="3"/>
      <c r="O4" s="3"/>
      <c r="P4" s="3"/>
    </row>
    <row r="5" spans="1:16" ht="15.6" x14ac:dyDescent="0.3">
      <c r="A5" s="3"/>
      <c r="B5" s="5" t="s">
        <v>5</v>
      </c>
      <c r="C5" s="38">
        <v>44708</v>
      </c>
      <c r="D5" s="3"/>
      <c r="E5" s="3"/>
      <c r="F5" s="3"/>
      <c r="G5" s="3"/>
      <c r="H5" s="3"/>
      <c r="I5" s="4"/>
      <c r="J5" s="3"/>
      <c r="K5" s="3"/>
      <c r="L5" s="3"/>
      <c r="M5" s="3"/>
      <c r="N5" s="3"/>
      <c r="O5" s="3"/>
      <c r="P5" s="3"/>
    </row>
    <row r="6" spans="1:16" ht="15.6" x14ac:dyDescent="0.3">
      <c r="A6" s="3"/>
      <c r="B6" s="5"/>
      <c r="C6" s="3"/>
      <c r="D6" s="3"/>
      <c r="E6" s="3"/>
      <c r="F6" s="3"/>
      <c r="G6" s="3"/>
      <c r="H6" s="3"/>
      <c r="I6" s="4"/>
      <c r="J6" s="3"/>
      <c r="K6" s="3"/>
      <c r="L6" s="3"/>
      <c r="M6" s="3"/>
      <c r="N6" s="3"/>
      <c r="O6" s="3"/>
      <c r="P6" s="3"/>
    </row>
    <row r="7" spans="1:16" ht="15.6" x14ac:dyDescent="0.3">
      <c r="A7" s="10" t="s">
        <v>6</v>
      </c>
      <c r="B7" s="11"/>
      <c r="C7" s="12" t="s">
        <v>7</v>
      </c>
      <c r="D7" s="3"/>
      <c r="E7" s="12" t="s">
        <v>8</v>
      </c>
      <c r="F7" s="12" t="s">
        <v>34</v>
      </c>
      <c r="G7" s="3"/>
      <c r="H7" s="67" t="s">
        <v>7</v>
      </c>
      <c r="I7" s="67"/>
      <c r="J7" s="12" t="s">
        <v>8</v>
      </c>
      <c r="K7" s="3"/>
      <c r="L7" s="3"/>
      <c r="M7" s="3"/>
      <c r="N7" s="3"/>
      <c r="O7" s="3"/>
      <c r="P7" s="3"/>
    </row>
    <row r="8" spans="1:16" ht="15.6" x14ac:dyDescent="0.3">
      <c r="A8" s="13">
        <v>1</v>
      </c>
      <c r="B8" s="5" t="s">
        <v>9</v>
      </c>
      <c r="C8" s="14" t="s">
        <v>35</v>
      </c>
      <c r="D8" s="15"/>
      <c r="E8" s="35">
        <v>10.25</v>
      </c>
      <c r="F8" s="16">
        <v>66</v>
      </c>
      <c r="G8" s="11">
        <v>9</v>
      </c>
      <c r="H8" s="14" t="s">
        <v>40</v>
      </c>
      <c r="I8" s="8"/>
      <c r="J8" s="39">
        <v>10.25</v>
      </c>
      <c r="K8" s="3"/>
      <c r="L8" s="3"/>
      <c r="M8" s="3"/>
      <c r="N8" s="32"/>
      <c r="O8" s="3"/>
      <c r="P8" s="3"/>
    </row>
    <row r="9" spans="1:16" ht="15.6" x14ac:dyDescent="0.3">
      <c r="A9" s="13">
        <v>2</v>
      </c>
      <c r="B9" s="5" t="s">
        <v>10</v>
      </c>
      <c r="C9" s="14" t="s">
        <v>37</v>
      </c>
      <c r="D9" s="8"/>
      <c r="E9" s="35">
        <v>10.25</v>
      </c>
      <c r="F9" s="16"/>
      <c r="G9" s="11">
        <v>10</v>
      </c>
      <c r="H9" s="14"/>
      <c r="I9" s="8"/>
      <c r="J9" s="39"/>
      <c r="K9" s="3"/>
      <c r="L9" s="3"/>
      <c r="M9" s="3"/>
      <c r="N9" s="3"/>
      <c r="O9" s="3"/>
      <c r="P9" s="3"/>
    </row>
    <row r="10" spans="1:16" ht="15.6" x14ac:dyDescent="0.3">
      <c r="A10" s="13">
        <v>3</v>
      </c>
      <c r="B10" s="5" t="s">
        <v>11</v>
      </c>
      <c r="C10" s="14" t="s">
        <v>36</v>
      </c>
      <c r="D10" s="8"/>
      <c r="E10" s="35">
        <v>10.25</v>
      </c>
      <c r="F10" s="16">
        <v>78</v>
      </c>
      <c r="G10" s="11">
        <v>11</v>
      </c>
      <c r="H10" s="3"/>
      <c r="I10" s="8"/>
      <c r="J10" s="39"/>
      <c r="K10" s="3"/>
      <c r="L10" s="3"/>
      <c r="M10" s="3"/>
      <c r="N10" s="3"/>
      <c r="O10" s="3"/>
      <c r="P10" s="3"/>
    </row>
    <row r="11" spans="1:16" ht="15.6" x14ac:dyDescent="0.3">
      <c r="A11" s="13">
        <v>4</v>
      </c>
      <c r="B11" s="5" t="s">
        <v>12</v>
      </c>
      <c r="C11" s="14" t="s">
        <v>29</v>
      </c>
      <c r="D11" s="8"/>
      <c r="E11" s="35">
        <v>10.25</v>
      </c>
      <c r="F11" s="16"/>
      <c r="G11" s="11">
        <v>12</v>
      </c>
      <c r="H11" s="3"/>
      <c r="I11" s="8"/>
      <c r="J11" s="39"/>
      <c r="K11" s="3"/>
      <c r="L11" s="3"/>
      <c r="M11" s="3"/>
      <c r="N11" s="3"/>
      <c r="O11" s="3"/>
      <c r="P11" s="3"/>
    </row>
    <row r="12" spans="1:16" ht="15.6" x14ac:dyDescent="0.3">
      <c r="A12" s="13">
        <v>5</v>
      </c>
      <c r="B12" s="3"/>
      <c r="C12" s="31" t="s">
        <v>30</v>
      </c>
      <c r="D12" s="8"/>
      <c r="E12" s="35">
        <v>10.25</v>
      </c>
      <c r="F12" s="16"/>
      <c r="G12" s="11">
        <v>13</v>
      </c>
      <c r="H12" s="3"/>
      <c r="I12" s="8"/>
      <c r="J12" s="39"/>
      <c r="K12" s="3"/>
      <c r="L12" s="3"/>
      <c r="M12" s="3"/>
      <c r="N12" s="3"/>
      <c r="O12" s="3"/>
      <c r="P12" s="3"/>
    </row>
    <row r="13" spans="1:16" ht="15.6" x14ac:dyDescent="0.3">
      <c r="A13" s="13">
        <v>6</v>
      </c>
      <c r="B13" s="3"/>
      <c r="C13" s="14" t="s">
        <v>31</v>
      </c>
      <c r="D13" s="8"/>
      <c r="E13" s="35">
        <v>10.25</v>
      </c>
      <c r="F13" s="16">
        <v>74</v>
      </c>
      <c r="G13" s="11">
        <v>14</v>
      </c>
      <c r="H13" s="18"/>
      <c r="I13" s="8"/>
      <c r="J13" s="39"/>
      <c r="K13" s="3"/>
      <c r="L13" s="3"/>
      <c r="M13" s="3"/>
      <c r="N13" s="3"/>
      <c r="O13" s="3"/>
      <c r="P13" s="3"/>
    </row>
    <row r="14" spans="1:16" ht="15.6" x14ac:dyDescent="0.3">
      <c r="A14" s="13">
        <v>7</v>
      </c>
      <c r="B14" s="5" t="s">
        <v>52</v>
      </c>
      <c r="C14" s="14" t="s">
        <v>39</v>
      </c>
      <c r="D14" s="8"/>
      <c r="E14" s="35">
        <v>10.25</v>
      </c>
      <c r="F14" s="16"/>
      <c r="G14" s="11">
        <v>15</v>
      </c>
      <c r="H14" s="3"/>
      <c r="I14" s="8"/>
      <c r="J14" s="39"/>
      <c r="K14" s="3"/>
      <c r="L14" s="3"/>
      <c r="M14" s="3"/>
      <c r="N14" s="3"/>
      <c r="O14" s="3"/>
      <c r="P14" s="3"/>
    </row>
    <row r="15" spans="1:16" ht="15.6" x14ac:dyDescent="0.3">
      <c r="A15" s="13">
        <v>8</v>
      </c>
      <c r="B15" s="3"/>
      <c r="C15" s="14" t="s">
        <v>38</v>
      </c>
      <c r="D15" s="8"/>
      <c r="E15" s="35">
        <v>10.25</v>
      </c>
      <c r="F15" s="16"/>
      <c r="G15" s="11">
        <v>16</v>
      </c>
      <c r="H15" s="3"/>
      <c r="I15" s="8"/>
      <c r="J15" s="39"/>
      <c r="K15" s="3"/>
      <c r="L15" s="3"/>
      <c r="M15" s="3"/>
      <c r="N15" s="3"/>
      <c r="O15" s="3"/>
      <c r="P15" s="3"/>
    </row>
    <row r="16" spans="1:16" ht="15.6" x14ac:dyDescent="0.3">
      <c r="A16" s="3"/>
      <c r="B16" s="3"/>
      <c r="C16" s="3"/>
      <c r="D16" s="3"/>
      <c r="E16" s="3"/>
      <c r="F16" s="3"/>
      <c r="G16" s="13"/>
      <c r="H16" s="7" t="s">
        <v>13</v>
      </c>
      <c r="I16" s="3"/>
      <c r="J16" s="8">
        <f>SUM(E8:E15)+SUM(J8:J15)</f>
        <v>92.25</v>
      </c>
      <c r="K16" s="3"/>
      <c r="L16" s="3"/>
      <c r="M16" s="3"/>
      <c r="N16" s="3"/>
      <c r="O16" s="3"/>
      <c r="P16" s="3"/>
    </row>
    <row r="17" spans="1:18" ht="15.6" x14ac:dyDescent="0.3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  <c r="L17" s="3"/>
      <c r="M17" s="3"/>
      <c r="N17" s="3"/>
      <c r="O17" s="3"/>
      <c r="P17" s="3"/>
    </row>
    <row r="18" spans="1:18" ht="93.6" x14ac:dyDescent="0.3">
      <c r="A18" s="19"/>
      <c r="B18" s="20" t="s">
        <v>14</v>
      </c>
      <c r="C18" s="21" t="s">
        <v>15</v>
      </c>
      <c r="D18" s="22" t="s">
        <v>16</v>
      </c>
      <c r="E18" s="22" t="s">
        <v>17</v>
      </c>
      <c r="F18" s="22" t="s">
        <v>18</v>
      </c>
      <c r="G18" s="22" t="s">
        <v>19</v>
      </c>
      <c r="H18" s="22" t="s">
        <v>18</v>
      </c>
      <c r="I18" s="22" t="s">
        <v>19</v>
      </c>
      <c r="J18" s="22" t="s">
        <v>20</v>
      </c>
      <c r="K18" s="23" t="s">
        <v>21</v>
      </c>
      <c r="L18" s="24"/>
      <c r="M18" s="23" t="s">
        <v>22</v>
      </c>
      <c r="N18" s="23" t="s">
        <v>23</v>
      </c>
      <c r="O18" s="23" t="s">
        <v>24</v>
      </c>
      <c r="P18" s="23" t="s">
        <v>25</v>
      </c>
    </row>
    <row r="19" spans="1:18" ht="15.6" x14ac:dyDescent="0.3">
      <c r="A19" s="19"/>
      <c r="B19" s="19"/>
      <c r="C19" s="24"/>
      <c r="D19" s="24"/>
      <c r="E19" s="24"/>
      <c r="F19" s="24"/>
      <c r="G19" s="24"/>
      <c r="H19" s="24"/>
      <c r="I19" s="24"/>
      <c r="J19" s="24"/>
      <c r="K19" s="25"/>
      <c r="L19" s="24"/>
      <c r="M19" s="3"/>
      <c r="N19" s="3"/>
      <c r="O19" s="3"/>
      <c r="P19" s="3"/>
    </row>
    <row r="20" spans="1:18" ht="15.6" x14ac:dyDescent="0.3">
      <c r="A20" s="3"/>
      <c r="B20" s="8" t="s">
        <v>26</v>
      </c>
      <c r="C20" s="8">
        <v>1</v>
      </c>
      <c r="D20" s="8">
        <v>1</v>
      </c>
      <c r="E20" s="8"/>
      <c r="F20" s="8"/>
      <c r="G20" s="35">
        <v>0</v>
      </c>
      <c r="H20" s="8"/>
      <c r="I20" s="16"/>
      <c r="J20" s="35">
        <f>F20*G20+H20*I20</f>
        <v>0</v>
      </c>
      <c r="K20" s="16" t="e">
        <f>E20/(J20)</f>
        <v>#DIV/0!</v>
      </c>
      <c r="L20" s="3"/>
      <c r="M20" s="26">
        <v>0</v>
      </c>
      <c r="N20" s="27">
        <f>M20/C20</f>
        <v>0</v>
      </c>
      <c r="O20" s="35">
        <f>J20+'5-26-22'!O20</f>
        <v>108</v>
      </c>
      <c r="P20" s="26">
        <f>M20/O20</f>
        <v>0</v>
      </c>
    </row>
    <row r="21" spans="1:18" ht="15.6" x14ac:dyDescent="0.3">
      <c r="A21" s="3"/>
      <c r="B21" s="3"/>
      <c r="C21" s="3"/>
      <c r="D21" s="3"/>
      <c r="E21" s="3"/>
      <c r="F21" s="3"/>
      <c r="G21" s="40"/>
      <c r="H21" s="3"/>
      <c r="I21" s="28"/>
      <c r="J21" s="40"/>
      <c r="K21" s="28"/>
      <c r="L21" s="3"/>
      <c r="M21" s="29"/>
      <c r="N21" s="3"/>
      <c r="O21" s="3"/>
      <c r="P21" s="3"/>
    </row>
    <row r="22" spans="1:18" ht="15.6" x14ac:dyDescent="0.3">
      <c r="A22" s="3"/>
      <c r="B22" s="8" t="s">
        <v>53</v>
      </c>
      <c r="C22" s="8">
        <v>125400</v>
      </c>
      <c r="D22" s="41"/>
      <c r="E22" s="41"/>
      <c r="F22" s="8"/>
      <c r="G22" s="52"/>
      <c r="H22" s="50">
        <v>9</v>
      </c>
      <c r="I22" s="51">
        <v>1.5</v>
      </c>
      <c r="J22" s="35">
        <f>F22*G22+H22*I22</f>
        <v>13.5</v>
      </c>
      <c r="K22" s="16">
        <f>E22/(J22)</f>
        <v>0</v>
      </c>
      <c r="L22" s="3"/>
      <c r="M22" s="26">
        <f>E22+'5-26-22'!M22</f>
        <v>125400</v>
      </c>
      <c r="N22" s="27">
        <f>M22/C22</f>
        <v>1</v>
      </c>
      <c r="O22" s="35">
        <f>J22+'5-26-22'!O22</f>
        <v>538.75</v>
      </c>
      <c r="P22" s="26">
        <f>M22/O22</f>
        <v>232.76102088167053</v>
      </c>
      <c r="Q22" t="s">
        <v>85</v>
      </c>
      <c r="R22">
        <v>844</v>
      </c>
    </row>
    <row r="23" spans="1:18" ht="15.6" x14ac:dyDescent="0.3">
      <c r="A23" s="3"/>
      <c r="B23" s="3"/>
      <c r="C23" s="3"/>
      <c r="D23" s="3"/>
      <c r="E23" s="3"/>
      <c r="F23" s="3"/>
      <c r="G23" s="40"/>
      <c r="H23" s="3"/>
      <c r="I23" s="28"/>
      <c r="J23" s="40"/>
      <c r="K23" s="28"/>
      <c r="L23" s="3"/>
      <c r="M23" s="29"/>
      <c r="N23" s="3"/>
      <c r="O23" s="36"/>
      <c r="P23" s="29"/>
    </row>
    <row r="24" spans="1:18" ht="15.6" x14ac:dyDescent="0.3">
      <c r="A24" s="3"/>
      <c r="B24" s="8" t="s">
        <v>54</v>
      </c>
      <c r="C24" s="8">
        <v>125400</v>
      </c>
      <c r="D24" s="8"/>
      <c r="E24" s="8"/>
      <c r="F24" s="43">
        <v>9</v>
      </c>
      <c r="G24" s="45">
        <v>8.75</v>
      </c>
      <c r="H24" s="8"/>
      <c r="I24" s="16"/>
      <c r="J24" s="35">
        <f>F24*G24+H24*I24</f>
        <v>78.75</v>
      </c>
      <c r="K24" s="16">
        <f>E24/(J24)</f>
        <v>0</v>
      </c>
      <c r="L24" s="3"/>
      <c r="M24" s="26">
        <f>E24+'5-26-22'!M24</f>
        <v>0</v>
      </c>
      <c r="N24" s="27">
        <f>M24/C24</f>
        <v>0</v>
      </c>
      <c r="O24" s="35">
        <f>J24+'5-26-22'!O24</f>
        <v>98.75</v>
      </c>
      <c r="P24" s="26">
        <f>M24/O24</f>
        <v>0</v>
      </c>
    </row>
    <row r="25" spans="1:18" ht="15.6" x14ac:dyDescent="0.3">
      <c r="A25" s="3"/>
      <c r="B25" s="3"/>
      <c r="C25" s="3"/>
      <c r="D25" s="3"/>
      <c r="E25" s="3"/>
      <c r="F25" s="3"/>
      <c r="G25" s="36"/>
      <c r="H25" s="3"/>
      <c r="I25" s="4"/>
      <c r="J25" s="36"/>
      <c r="K25" s="4"/>
      <c r="L25" s="3"/>
      <c r="M25" s="29"/>
      <c r="N25" s="3"/>
      <c r="O25" s="3"/>
      <c r="P25" s="3"/>
    </row>
    <row r="26" spans="1:18" ht="15.6" x14ac:dyDescent="0.3">
      <c r="A26" s="3"/>
      <c r="B26" s="8" t="s">
        <v>44</v>
      </c>
      <c r="C26" s="8">
        <v>3040</v>
      </c>
      <c r="D26" s="8"/>
      <c r="E26" s="8"/>
      <c r="F26" s="8"/>
      <c r="G26" s="35"/>
      <c r="H26" s="8"/>
      <c r="I26" s="16"/>
      <c r="J26" s="35">
        <f>F26*G26+H26*I26</f>
        <v>0</v>
      </c>
      <c r="K26" s="16" t="e">
        <f>E26/(J26)</f>
        <v>#DIV/0!</v>
      </c>
      <c r="L26" s="3"/>
      <c r="M26" s="26">
        <f>E26+'5-26-22'!M26</f>
        <v>0</v>
      </c>
      <c r="N26" s="27">
        <f>M26/C26</f>
        <v>0</v>
      </c>
      <c r="O26" s="35">
        <f>J26+'5-26-22'!O26</f>
        <v>0</v>
      </c>
      <c r="P26" s="26" t="e">
        <f>M26/O26</f>
        <v>#DIV/0!</v>
      </c>
    </row>
    <row r="27" spans="1:18" ht="15.6" x14ac:dyDescent="0.3">
      <c r="A27" s="3"/>
      <c r="B27" s="3"/>
      <c r="C27" s="3"/>
      <c r="D27" s="3"/>
      <c r="E27" s="3"/>
      <c r="F27" s="3"/>
      <c r="G27" s="36"/>
      <c r="H27" s="3"/>
      <c r="I27" s="4"/>
      <c r="J27" s="36"/>
      <c r="K27" s="4"/>
      <c r="L27" s="3"/>
      <c r="M27" s="29"/>
      <c r="N27" s="3"/>
      <c r="O27" s="3"/>
      <c r="P27" s="3"/>
    </row>
    <row r="28" spans="1:18" ht="15.6" x14ac:dyDescent="0.3">
      <c r="A28" s="3"/>
      <c r="B28" s="8" t="s">
        <v>45</v>
      </c>
      <c r="C28" s="8">
        <v>3040</v>
      </c>
      <c r="D28" s="8"/>
      <c r="E28" s="8"/>
      <c r="F28" s="8"/>
      <c r="G28" s="35"/>
      <c r="H28" s="8"/>
      <c r="I28" s="16"/>
      <c r="J28" s="35">
        <f>F28*G28+H28*I28</f>
        <v>0</v>
      </c>
      <c r="K28" s="16" t="e">
        <f>E28/(J28)</f>
        <v>#DIV/0!</v>
      </c>
      <c r="L28" s="3"/>
      <c r="M28" s="26">
        <f>E28+'5-26-22'!M28</f>
        <v>0</v>
      </c>
      <c r="N28" s="27">
        <f>M28/C28</f>
        <v>0</v>
      </c>
      <c r="O28" s="35">
        <f>J28+'5-26-22'!O28</f>
        <v>0</v>
      </c>
      <c r="P28" s="26" t="e">
        <f>M28/O28</f>
        <v>#DIV/0!</v>
      </c>
    </row>
    <row r="29" spans="1:18" ht="15.6" x14ac:dyDescent="0.3">
      <c r="A29" s="3"/>
      <c r="B29" s="3"/>
      <c r="C29" s="3"/>
      <c r="D29" s="3"/>
      <c r="E29" s="3"/>
      <c r="F29" s="3"/>
      <c r="G29" s="36"/>
      <c r="H29" s="3"/>
      <c r="I29" s="4"/>
      <c r="J29" s="36"/>
      <c r="K29" s="4"/>
      <c r="L29" s="3"/>
      <c r="M29" s="29"/>
      <c r="N29" s="3"/>
      <c r="O29" s="3"/>
      <c r="P29" s="3"/>
    </row>
    <row r="30" spans="1:18" ht="15.6" x14ac:dyDescent="0.3">
      <c r="A30" s="3"/>
      <c r="B30" s="8" t="s">
        <v>47</v>
      </c>
      <c r="C30" s="8">
        <v>125400</v>
      </c>
      <c r="D30" s="8"/>
      <c r="E30" s="8"/>
      <c r="F30" s="8"/>
      <c r="G30" s="35"/>
      <c r="H30" s="8"/>
      <c r="I30" s="16"/>
      <c r="J30" s="35">
        <f>F30*G30+H30*I30</f>
        <v>0</v>
      </c>
      <c r="K30" s="16" t="e">
        <f>E30/(J30)</f>
        <v>#DIV/0!</v>
      </c>
      <c r="L30" s="3"/>
      <c r="M30" s="26">
        <f>E30+'5-26-22'!M30</f>
        <v>0</v>
      </c>
      <c r="N30" s="27">
        <f>M30/C30</f>
        <v>0</v>
      </c>
      <c r="O30" s="35">
        <f>J30+'5-26-22'!O30</f>
        <v>0</v>
      </c>
      <c r="P30" s="26" t="e">
        <f>M30/O30</f>
        <v>#DIV/0!</v>
      </c>
    </row>
    <row r="31" spans="1:18" ht="15.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7"/>
      <c r="O31" s="3"/>
      <c r="P31" s="3"/>
    </row>
    <row r="32" spans="1:18" ht="15.6" x14ac:dyDescent="0.3">
      <c r="A32" s="3"/>
      <c r="B32" s="8" t="s">
        <v>46</v>
      </c>
      <c r="C32" s="8">
        <v>324</v>
      </c>
      <c r="D32" s="8"/>
      <c r="E32" s="8"/>
      <c r="F32" s="8"/>
      <c r="G32" s="35"/>
      <c r="H32" s="8"/>
      <c r="I32" s="16"/>
      <c r="J32" s="35">
        <f>F32*G32+H32*I32</f>
        <v>0</v>
      </c>
      <c r="K32" s="16" t="e">
        <f>E32/(J32)</f>
        <v>#DIV/0!</v>
      </c>
      <c r="L32" s="3"/>
      <c r="M32" s="26">
        <f>E32+'5-26-22'!M32</f>
        <v>0</v>
      </c>
      <c r="N32" s="27">
        <f>M32/C32</f>
        <v>0</v>
      </c>
      <c r="O32" s="35">
        <f>J32+'5-26-22'!O32</f>
        <v>0</v>
      </c>
      <c r="P32" s="26" t="e">
        <f>M32/O32</f>
        <v>#DIV/0!</v>
      </c>
    </row>
    <row r="33" spans="1:16" ht="15.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7"/>
      <c r="O33" s="3"/>
      <c r="P33" s="3"/>
    </row>
    <row r="34" spans="1:16" ht="15.6" x14ac:dyDescent="0.3">
      <c r="A34" s="3"/>
      <c r="B34" s="8" t="s">
        <v>48</v>
      </c>
      <c r="C34" s="8">
        <v>115000</v>
      </c>
      <c r="D34" s="8"/>
      <c r="E34" s="8"/>
      <c r="F34" s="8"/>
      <c r="G34" s="35"/>
      <c r="H34" s="8"/>
      <c r="I34" s="16"/>
      <c r="J34" s="35">
        <f>F34*G34+H34*I34</f>
        <v>0</v>
      </c>
      <c r="K34" s="16" t="e">
        <f>E34/(J34)</f>
        <v>#DIV/0!</v>
      </c>
      <c r="L34" s="3"/>
      <c r="M34" s="26">
        <f>E34+'5-26-22'!M34</f>
        <v>0</v>
      </c>
      <c r="N34" s="27">
        <f>M34/C34</f>
        <v>0</v>
      </c>
      <c r="O34" s="35">
        <f>J34+'5-26-22'!O34</f>
        <v>0</v>
      </c>
      <c r="P34" s="26" t="e">
        <f>M34/O34</f>
        <v>#DIV/0!</v>
      </c>
    </row>
    <row r="35" spans="1:16" ht="15.6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27"/>
      <c r="O35" s="3"/>
      <c r="P35" s="3"/>
    </row>
    <row r="36" spans="1:16" ht="15.6" x14ac:dyDescent="0.3">
      <c r="A36" s="3"/>
      <c r="B36" s="8" t="s">
        <v>49</v>
      </c>
      <c r="C36" s="8">
        <v>8</v>
      </c>
      <c r="D36" s="8"/>
      <c r="E36" s="8"/>
      <c r="F36" s="8"/>
      <c r="G36" s="35"/>
      <c r="H36" s="8"/>
      <c r="I36" s="16"/>
      <c r="J36" s="35">
        <f>F36*G36+H36*I36</f>
        <v>0</v>
      </c>
      <c r="K36" s="16" t="e">
        <f>E36/(J36)</f>
        <v>#DIV/0!</v>
      </c>
      <c r="L36" s="3"/>
      <c r="M36" s="26">
        <f>E36+'5-26-22'!M36</f>
        <v>0</v>
      </c>
      <c r="N36" s="27">
        <f>M36/C36</f>
        <v>0</v>
      </c>
      <c r="O36" s="35">
        <f>J36+'5-26-22'!O36</f>
        <v>0</v>
      </c>
      <c r="P36" s="26" t="e">
        <f>M36/O36</f>
        <v>#DIV/0!</v>
      </c>
    </row>
    <row r="37" spans="1:16" ht="15.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27"/>
      <c r="O37" s="3"/>
      <c r="P37" s="3"/>
    </row>
    <row r="38" spans="1:16" ht="15.6" x14ac:dyDescent="0.3">
      <c r="A38" s="3"/>
      <c r="B38" s="8" t="s">
        <v>50</v>
      </c>
      <c r="C38" s="8">
        <f>2760+480</f>
        <v>3240</v>
      </c>
      <c r="D38" s="8"/>
      <c r="E38" s="8"/>
      <c r="F38" s="8"/>
      <c r="G38" s="35"/>
      <c r="H38" s="8"/>
      <c r="I38" s="16"/>
      <c r="J38" s="35">
        <f>F38*G38+H38*I38</f>
        <v>0</v>
      </c>
      <c r="K38" s="16" t="e">
        <f>E38/(J38)</f>
        <v>#DIV/0!</v>
      </c>
      <c r="L38" s="3"/>
      <c r="M38" s="26">
        <f>E38+'5-26-22'!M38</f>
        <v>0</v>
      </c>
      <c r="N38" s="27">
        <f>M38/C38</f>
        <v>0</v>
      </c>
      <c r="O38" s="35">
        <f>J38+'5-26-22'!O38</f>
        <v>0</v>
      </c>
      <c r="P38" s="26" t="e">
        <f>M38/O38</f>
        <v>#DIV/0!</v>
      </c>
    </row>
    <row r="39" spans="1:16" ht="15.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7"/>
      <c r="O39" s="3"/>
      <c r="P39" s="3"/>
    </row>
    <row r="40" spans="1:16" ht="15.6" x14ac:dyDescent="0.3">
      <c r="A40" s="3"/>
      <c r="B40" s="8" t="s">
        <v>51</v>
      </c>
      <c r="C40" s="8">
        <v>25</v>
      </c>
      <c r="D40" s="8"/>
      <c r="E40" s="8"/>
      <c r="F40" s="8"/>
      <c r="G40" s="35"/>
      <c r="H40" s="8"/>
      <c r="I40" s="16"/>
      <c r="J40" s="35">
        <f>F40*G40+H40*I40</f>
        <v>0</v>
      </c>
      <c r="K40" s="16" t="e">
        <f>E40/(J40)</f>
        <v>#DIV/0!</v>
      </c>
      <c r="L40" s="3"/>
      <c r="M40" s="26">
        <f>E40+'5-26-22'!M40</f>
        <v>0</v>
      </c>
      <c r="N40" s="27">
        <f>M40/C40</f>
        <v>0</v>
      </c>
      <c r="O40" s="35">
        <f>J40+'5-26-22'!O40</f>
        <v>0</v>
      </c>
      <c r="P40" s="26" t="e">
        <f>M40/O40</f>
        <v>#DIV/0!</v>
      </c>
    </row>
    <row r="41" spans="1:16" ht="15.6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27"/>
      <c r="O41" s="3"/>
      <c r="P41" s="3"/>
    </row>
    <row r="42" spans="1:16" ht="15.6" x14ac:dyDescent="0.3">
      <c r="A42" s="3"/>
      <c r="B42" s="8" t="s">
        <v>75</v>
      </c>
      <c r="C42" s="8"/>
      <c r="D42" s="8"/>
      <c r="E42" s="8"/>
      <c r="F42" s="8"/>
      <c r="G42" s="35"/>
      <c r="H42" s="8"/>
      <c r="I42" s="16"/>
      <c r="J42" s="35">
        <f>F42*G42+H42*I42</f>
        <v>0</v>
      </c>
      <c r="K42" s="16" t="e">
        <f>E42/(J42)</f>
        <v>#DIV/0!</v>
      </c>
      <c r="L42" s="3"/>
      <c r="M42" s="26">
        <f>E42+'5-26-22'!M42</f>
        <v>0</v>
      </c>
      <c r="N42" s="27" t="e">
        <f>M42/C42</f>
        <v>#DIV/0!</v>
      </c>
      <c r="O42" s="35">
        <f>J42+'5-26-22'!O42</f>
        <v>123.75</v>
      </c>
      <c r="P42" s="26">
        <f>M42/O42</f>
        <v>0</v>
      </c>
    </row>
    <row r="43" spans="1:16" ht="15.6" x14ac:dyDescent="0.3">
      <c r="A43" s="3"/>
      <c r="B43" s="3" t="s">
        <v>27</v>
      </c>
      <c r="C43" s="3"/>
      <c r="D43" s="3"/>
      <c r="E43" s="3"/>
      <c r="F43" s="3"/>
      <c r="G43" s="3"/>
      <c r="H43" s="30"/>
      <c r="I43" s="4"/>
      <c r="J43" s="3">
        <f>J20+J22+J24+J26+J28+J30+J32+J34+J36+J38+J40+J42</f>
        <v>92.25</v>
      </c>
      <c r="K43" s="3"/>
      <c r="L43" s="3"/>
      <c r="M43" s="3"/>
      <c r="N43" s="3"/>
      <c r="O43" s="3">
        <f>O20+O22+O24+O26+O28+O30+O32+O34+O36+O38+O40+O42</f>
        <v>869.25</v>
      </c>
      <c r="P43" s="3"/>
    </row>
    <row r="44" spans="1:16" ht="15.6" x14ac:dyDescent="0.3">
      <c r="A44" s="3"/>
      <c r="B44" s="3"/>
      <c r="C44" s="3"/>
      <c r="D44" s="3"/>
      <c r="E44" s="3"/>
      <c r="F44" s="3"/>
      <c r="G44" s="3"/>
      <c r="H44" s="3"/>
      <c r="I44" s="4"/>
      <c r="J44" s="3"/>
      <c r="K44" s="3"/>
      <c r="L44" s="3"/>
      <c r="M44" s="3"/>
      <c r="N44" s="3"/>
      <c r="O44" s="3"/>
      <c r="P44" s="3"/>
    </row>
    <row r="45" spans="1:16" ht="15.6" x14ac:dyDescent="0.3">
      <c r="A45" s="3"/>
      <c r="B45" s="3" t="s">
        <v>28</v>
      </c>
      <c r="C45" s="3" t="s">
        <v>87</v>
      </c>
      <c r="D45" s="3"/>
      <c r="E45" s="46"/>
      <c r="F45" s="46"/>
      <c r="G45" s="46"/>
      <c r="H45" s="3"/>
      <c r="I45" s="4"/>
      <c r="J45" s="3"/>
      <c r="K45" s="3"/>
      <c r="L45" s="3"/>
      <c r="M45" s="3"/>
      <c r="N45" s="3"/>
      <c r="O45" s="3"/>
      <c r="P45" s="3"/>
    </row>
    <row r="46" spans="1:16" ht="15.6" x14ac:dyDescent="0.3">
      <c r="C46" s="48" t="s">
        <v>86</v>
      </c>
      <c r="D46" s="49"/>
    </row>
    <row r="47" spans="1:16" ht="15.6" x14ac:dyDescent="0.3">
      <c r="B47" s="3" t="s">
        <v>32</v>
      </c>
      <c r="C47" s="33" t="s">
        <v>88</v>
      </c>
    </row>
    <row r="48" spans="1:16" ht="15.6" x14ac:dyDescent="0.3">
      <c r="C48" s="33"/>
    </row>
    <row r="49" spans="2:3" ht="15.6" x14ac:dyDescent="0.3">
      <c r="B49" s="3" t="s">
        <v>33</v>
      </c>
      <c r="C49" s="3" t="s">
        <v>89</v>
      </c>
    </row>
  </sheetData>
  <mergeCells count="2">
    <mergeCell ref="A1:G1"/>
    <mergeCell ref="H7:I7"/>
  </mergeCells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4CA6F-BDC1-49D4-A854-C5D8DF489E5B}">
  <dimension ref="A1:R49"/>
  <sheetViews>
    <sheetView zoomScale="85" zoomScaleNormal="85" workbookViewId="0">
      <selection activeCell="O44" sqref="O44"/>
    </sheetView>
  </sheetViews>
  <sheetFormatPr defaultRowHeight="14.4" x14ac:dyDescent="0.3"/>
  <cols>
    <col min="1" max="1" width="11.33203125" customWidth="1"/>
    <col min="2" max="2" width="29.33203125" customWidth="1"/>
    <col min="3" max="3" width="22.109375" customWidth="1"/>
    <col min="4" max="4" width="14.88671875" customWidth="1"/>
    <col min="5" max="5" width="16.6640625" customWidth="1"/>
    <col min="6" max="6" width="17.44140625" customWidth="1"/>
    <col min="8" max="8" width="20.44140625" customWidth="1"/>
    <col min="13" max="13" width="10.6640625" customWidth="1"/>
    <col min="15" max="15" width="10.6640625" customWidth="1"/>
  </cols>
  <sheetData>
    <row r="1" spans="1:16" ht="18" x14ac:dyDescent="0.35">
      <c r="A1" s="66" t="s">
        <v>0</v>
      </c>
      <c r="B1" s="66"/>
      <c r="C1" s="66"/>
      <c r="D1" s="66"/>
      <c r="E1" s="66"/>
      <c r="F1" s="66"/>
      <c r="G1" s="66"/>
      <c r="H1" s="1"/>
      <c r="I1" s="2"/>
      <c r="J1" s="1"/>
      <c r="K1" s="1"/>
      <c r="L1" s="1"/>
      <c r="M1" s="1"/>
      <c r="N1" s="1"/>
      <c r="O1" s="1"/>
      <c r="P1" s="1"/>
    </row>
    <row r="2" spans="1:16" ht="15.6" x14ac:dyDescent="0.3">
      <c r="A2" s="3"/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</row>
    <row r="3" spans="1:16" ht="15.6" x14ac:dyDescent="0.3">
      <c r="A3" s="3"/>
      <c r="B3" s="5" t="s">
        <v>1</v>
      </c>
      <c r="C3" s="6" t="s">
        <v>43</v>
      </c>
      <c r="D3" s="7"/>
      <c r="E3" s="3"/>
      <c r="F3" s="5" t="s">
        <v>2</v>
      </c>
      <c r="G3" s="8">
        <v>4355</v>
      </c>
      <c r="H3" s="5" t="s">
        <v>41</v>
      </c>
      <c r="I3" s="36">
        <v>49</v>
      </c>
      <c r="J3" s="3"/>
      <c r="K3" s="3"/>
      <c r="L3" s="3"/>
      <c r="M3" s="3"/>
      <c r="N3" s="3"/>
      <c r="O3" s="3"/>
      <c r="P3" s="3"/>
    </row>
    <row r="4" spans="1:16" ht="15.6" x14ac:dyDescent="0.3">
      <c r="A4" s="3"/>
      <c r="B4" s="5" t="s">
        <v>3</v>
      </c>
      <c r="C4" s="37">
        <v>300155</v>
      </c>
      <c r="D4" s="7"/>
      <c r="E4" s="3"/>
      <c r="F4" s="5" t="s">
        <v>4</v>
      </c>
      <c r="G4" s="8">
        <f>J16+'5-25-22'!G4</f>
        <v>777</v>
      </c>
      <c r="H4" s="34" t="s">
        <v>42</v>
      </c>
      <c r="I4" s="4">
        <v>11</v>
      </c>
      <c r="J4" s="3"/>
      <c r="K4" s="3"/>
      <c r="L4" s="3"/>
      <c r="M4" s="3"/>
      <c r="N4" s="3"/>
      <c r="O4" s="3"/>
      <c r="P4" s="3"/>
    </row>
    <row r="5" spans="1:16" ht="15.6" x14ac:dyDescent="0.3">
      <c r="A5" s="3"/>
      <c r="B5" s="5" t="s">
        <v>5</v>
      </c>
      <c r="C5" s="38">
        <v>44707</v>
      </c>
      <c r="D5" s="3"/>
      <c r="E5" s="3"/>
      <c r="F5" s="3"/>
      <c r="G5" s="3"/>
      <c r="H5" s="3"/>
      <c r="I5" s="4"/>
      <c r="J5" s="3"/>
      <c r="K5" s="3"/>
      <c r="L5" s="3"/>
      <c r="M5" s="3"/>
      <c r="N5" s="3"/>
      <c r="O5" s="3"/>
      <c r="P5" s="3"/>
    </row>
    <row r="6" spans="1:16" ht="15.6" x14ac:dyDescent="0.3">
      <c r="A6" s="3"/>
      <c r="B6" s="5"/>
      <c r="C6" s="3"/>
      <c r="D6" s="3"/>
      <c r="E6" s="3"/>
      <c r="F6" s="3"/>
      <c r="G6" s="3"/>
      <c r="H6" s="3"/>
      <c r="I6" s="4"/>
      <c r="J6" s="3"/>
      <c r="K6" s="3"/>
      <c r="L6" s="3"/>
      <c r="M6" s="3"/>
      <c r="N6" s="3"/>
      <c r="O6" s="3"/>
      <c r="P6" s="3"/>
    </row>
    <row r="7" spans="1:16" ht="15.6" x14ac:dyDescent="0.3">
      <c r="A7" s="10" t="s">
        <v>6</v>
      </c>
      <c r="B7" s="11"/>
      <c r="C7" s="12" t="s">
        <v>7</v>
      </c>
      <c r="D7" s="3"/>
      <c r="E7" s="12" t="s">
        <v>8</v>
      </c>
      <c r="F7" s="12" t="s">
        <v>34</v>
      </c>
      <c r="G7" s="3"/>
      <c r="H7" s="67" t="s">
        <v>7</v>
      </c>
      <c r="I7" s="67"/>
      <c r="J7" s="12" t="s">
        <v>8</v>
      </c>
      <c r="K7" s="3"/>
      <c r="L7" s="3"/>
      <c r="M7" s="3"/>
      <c r="N7" s="3"/>
      <c r="O7" s="3"/>
      <c r="P7" s="3"/>
    </row>
    <row r="8" spans="1:16" ht="15.6" x14ac:dyDescent="0.3">
      <c r="A8" s="13">
        <v>1</v>
      </c>
      <c r="B8" s="5" t="s">
        <v>9</v>
      </c>
      <c r="C8" s="14" t="s">
        <v>35</v>
      </c>
      <c r="D8" s="15"/>
      <c r="E8" s="35">
        <v>7</v>
      </c>
      <c r="F8" s="16">
        <v>66</v>
      </c>
      <c r="G8" s="11">
        <v>9</v>
      </c>
      <c r="H8" s="14" t="s">
        <v>40</v>
      </c>
      <c r="I8" s="8"/>
      <c r="J8" s="39">
        <v>10</v>
      </c>
      <c r="K8" s="3"/>
      <c r="L8" s="3"/>
      <c r="M8" s="3"/>
      <c r="N8" s="3"/>
      <c r="O8" s="3"/>
      <c r="P8" s="3"/>
    </row>
    <row r="9" spans="1:16" ht="15.6" x14ac:dyDescent="0.3">
      <c r="A9" s="13">
        <v>2</v>
      </c>
      <c r="B9" s="5" t="s">
        <v>10</v>
      </c>
      <c r="C9" s="14" t="s">
        <v>37</v>
      </c>
      <c r="D9" s="8"/>
      <c r="E9" s="35">
        <v>10</v>
      </c>
      <c r="F9" s="16"/>
      <c r="G9" s="11">
        <v>10</v>
      </c>
      <c r="H9" s="14"/>
      <c r="I9" s="8"/>
      <c r="J9" s="39"/>
      <c r="K9" s="3"/>
      <c r="L9" s="3"/>
      <c r="M9" s="3"/>
      <c r="N9" s="3"/>
      <c r="O9" s="3"/>
      <c r="P9" s="3"/>
    </row>
    <row r="10" spans="1:16" ht="15.6" x14ac:dyDescent="0.3">
      <c r="A10" s="13">
        <v>3</v>
      </c>
      <c r="B10" s="5" t="s">
        <v>11</v>
      </c>
      <c r="C10" s="14" t="s">
        <v>36</v>
      </c>
      <c r="D10" s="8"/>
      <c r="E10" s="35">
        <v>7</v>
      </c>
      <c r="F10" s="16">
        <v>78</v>
      </c>
      <c r="G10" s="11">
        <v>11</v>
      </c>
      <c r="H10" s="3"/>
      <c r="I10" s="8"/>
      <c r="J10" s="39"/>
      <c r="K10" s="3"/>
      <c r="L10" s="3"/>
      <c r="M10" s="3"/>
      <c r="N10" s="3"/>
      <c r="O10" s="3"/>
      <c r="P10" s="3"/>
    </row>
    <row r="11" spans="1:16" ht="15.6" x14ac:dyDescent="0.3">
      <c r="A11" s="13">
        <v>4</v>
      </c>
      <c r="B11" s="5" t="s">
        <v>12</v>
      </c>
      <c r="C11" s="14" t="s">
        <v>29</v>
      </c>
      <c r="D11" s="8"/>
      <c r="E11" s="35">
        <v>10</v>
      </c>
      <c r="F11" s="16"/>
      <c r="G11" s="11">
        <v>12</v>
      </c>
      <c r="H11" s="3"/>
      <c r="I11" s="8"/>
      <c r="J11" s="39"/>
      <c r="K11" s="3"/>
      <c r="L11" s="3"/>
      <c r="M11" s="3"/>
      <c r="N11" s="3"/>
      <c r="O11" s="3"/>
      <c r="P11" s="3"/>
    </row>
    <row r="12" spans="1:16" ht="15.6" x14ac:dyDescent="0.3">
      <c r="A12" s="13">
        <v>5</v>
      </c>
      <c r="B12" s="3"/>
      <c r="C12" s="31" t="s">
        <v>30</v>
      </c>
      <c r="D12" s="8"/>
      <c r="E12" s="35">
        <v>10</v>
      </c>
      <c r="F12" s="16"/>
      <c r="G12" s="11">
        <v>13</v>
      </c>
      <c r="H12" s="3"/>
      <c r="I12" s="8"/>
      <c r="J12" s="39"/>
      <c r="K12" s="3"/>
      <c r="L12" s="3"/>
      <c r="M12" s="3"/>
      <c r="N12" s="3"/>
      <c r="O12" s="3"/>
      <c r="P12" s="3"/>
    </row>
    <row r="13" spans="1:16" ht="15.6" x14ac:dyDescent="0.3">
      <c r="A13" s="13">
        <v>6</v>
      </c>
      <c r="B13" s="3"/>
      <c r="C13" s="14" t="s">
        <v>31</v>
      </c>
      <c r="D13" s="8"/>
      <c r="E13" s="35">
        <v>10</v>
      </c>
      <c r="F13" s="16">
        <v>74</v>
      </c>
      <c r="G13" s="11">
        <v>14</v>
      </c>
      <c r="H13" s="18"/>
      <c r="I13" s="8"/>
      <c r="J13" s="39"/>
      <c r="K13" s="3"/>
      <c r="L13" s="3"/>
      <c r="M13" s="3"/>
      <c r="N13" s="3"/>
      <c r="O13" s="3"/>
      <c r="P13" s="3"/>
    </row>
    <row r="14" spans="1:16" ht="15.6" x14ac:dyDescent="0.3">
      <c r="A14" s="13">
        <v>7</v>
      </c>
      <c r="B14" s="5" t="s">
        <v>52</v>
      </c>
      <c r="C14" s="14" t="s">
        <v>39</v>
      </c>
      <c r="D14" s="8"/>
      <c r="E14" s="35">
        <v>10</v>
      </c>
      <c r="F14" s="16"/>
      <c r="G14" s="11">
        <v>15</v>
      </c>
      <c r="H14" s="3"/>
      <c r="I14" s="8"/>
      <c r="J14" s="39"/>
      <c r="K14" s="3"/>
      <c r="L14" s="3"/>
      <c r="M14" s="3"/>
      <c r="N14" s="3"/>
      <c r="O14" s="3"/>
      <c r="P14" s="3"/>
    </row>
    <row r="15" spans="1:16" ht="15.6" x14ac:dyDescent="0.3">
      <c r="A15" s="13">
        <v>8</v>
      </c>
      <c r="B15" s="3"/>
      <c r="C15" s="14" t="s">
        <v>38</v>
      </c>
      <c r="D15" s="8"/>
      <c r="E15" s="35">
        <v>10</v>
      </c>
      <c r="F15" s="16"/>
      <c r="G15" s="11">
        <v>16</v>
      </c>
      <c r="H15" s="3"/>
      <c r="I15" s="8"/>
      <c r="J15" s="39"/>
      <c r="K15" s="3"/>
      <c r="L15" s="3"/>
      <c r="M15" s="3"/>
      <c r="N15" s="3"/>
      <c r="O15" s="3"/>
      <c r="P15" s="3"/>
    </row>
    <row r="16" spans="1:16" ht="15.6" x14ac:dyDescent="0.3">
      <c r="A16" s="3"/>
      <c r="B16" s="3"/>
      <c r="C16" s="3"/>
      <c r="D16" s="3"/>
      <c r="E16" s="3"/>
      <c r="F16" s="3"/>
      <c r="G16" s="13"/>
      <c r="H16" s="7" t="s">
        <v>13</v>
      </c>
      <c r="I16" s="3"/>
      <c r="J16" s="8">
        <f>SUM(E8:E15)+SUM(J8:J15)</f>
        <v>84</v>
      </c>
      <c r="K16" s="3"/>
      <c r="L16" s="3"/>
      <c r="M16" s="3"/>
      <c r="N16" s="3"/>
      <c r="O16" s="3"/>
      <c r="P16" s="3"/>
    </row>
    <row r="17" spans="1:18" ht="15.6" x14ac:dyDescent="0.3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  <c r="L17" s="3"/>
      <c r="M17" s="3"/>
      <c r="N17" s="3"/>
      <c r="O17" s="3"/>
      <c r="P17" s="3"/>
    </row>
    <row r="18" spans="1:18" ht="93.6" x14ac:dyDescent="0.3">
      <c r="A18" s="19"/>
      <c r="B18" s="20" t="s">
        <v>14</v>
      </c>
      <c r="C18" s="21" t="s">
        <v>15</v>
      </c>
      <c r="D18" s="22" t="s">
        <v>16</v>
      </c>
      <c r="E18" s="22" t="s">
        <v>17</v>
      </c>
      <c r="F18" s="22" t="s">
        <v>18</v>
      </c>
      <c r="G18" s="22" t="s">
        <v>19</v>
      </c>
      <c r="H18" s="22" t="s">
        <v>18</v>
      </c>
      <c r="I18" s="22" t="s">
        <v>19</v>
      </c>
      <c r="J18" s="22" t="s">
        <v>20</v>
      </c>
      <c r="K18" s="23" t="s">
        <v>21</v>
      </c>
      <c r="L18" s="24"/>
      <c r="M18" s="23" t="s">
        <v>22</v>
      </c>
      <c r="N18" s="23" t="s">
        <v>23</v>
      </c>
      <c r="O18" s="23" t="s">
        <v>24</v>
      </c>
      <c r="P18" s="23" t="s">
        <v>25</v>
      </c>
    </row>
    <row r="19" spans="1:18" ht="15.6" x14ac:dyDescent="0.3">
      <c r="A19" s="19"/>
      <c r="B19" s="19"/>
      <c r="C19" s="24"/>
      <c r="D19" s="24"/>
      <c r="E19" s="24"/>
      <c r="F19" s="24"/>
      <c r="G19" s="24"/>
      <c r="H19" s="24"/>
      <c r="I19" s="24"/>
      <c r="J19" s="24"/>
      <c r="K19" s="25"/>
      <c r="L19" s="24"/>
      <c r="M19" s="3"/>
      <c r="N19" s="3"/>
      <c r="O19" s="3"/>
      <c r="P19" s="3"/>
    </row>
    <row r="20" spans="1:18" ht="15.6" x14ac:dyDescent="0.3">
      <c r="A20" s="3"/>
      <c r="B20" s="8" t="s">
        <v>26</v>
      </c>
      <c r="C20" s="8">
        <v>1</v>
      </c>
      <c r="D20" s="8">
        <v>1</v>
      </c>
      <c r="E20" s="8"/>
      <c r="F20" s="8"/>
      <c r="G20" s="35">
        <v>0</v>
      </c>
      <c r="H20" s="8"/>
      <c r="I20" s="16"/>
      <c r="J20" s="35">
        <f>F20*G20+H20*I20</f>
        <v>0</v>
      </c>
      <c r="K20" s="16" t="e">
        <f>E20/(J20)</f>
        <v>#DIV/0!</v>
      </c>
      <c r="L20" s="3"/>
      <c r="M20" s="26">
        <v>0</v>
      </c>
      <c r="N20" s="27">
        <f>M20/C20</f>
        <v>0</v>
      </c>
      <c r="O20" s="35">
        <f>J20+'5-25-22'!O20</f>
        <v>108</v>
      </c>
      <c r="P20" s="26">
        <f>M20/O20</f>
        <v>0</v>
      </c>
    </row>
    <row r="21" spans="1:18" ht="15.6" x14ac:dyDescent="0.3">
      <c r="A21" s="3"/>
      <c r="B21" s="3"/>
      <c r="C21" s="3"/>
      <c r="D21" s="3"/>
      <c r="E21" s="3"/>
      <c r="F21" s="3"/>
      <c r="G21" s="40"/>
      <c r="H21" s="3"/>
      <c r="I21" s="28"/>
      <c r="J21" s="40"/>
      <c r="K21" s="28"/>
      <c r="L21" s="3"/>
      <c r="M21" s="29"/>
      <c r="N21" s="3"/>
      <c r="O21" s="3"/>
      <c r="P21" s="3"/>
    </row>
    <row r="22" spans="1:18" ht="15.6" x14ac:dyDescent="0.3">
      <c r="A22" s="3"/>
      <c r="B22" s="8" t="s">
        <v>53</v>
      </c>
      <c r="C22" s="8">
        <v>125400</v>
      </c>
      <c r="D22" s="41"/>
      <c r="E22" s="41">
        <v>11456</v>
      </c>
      <c r="F22" s="8">
        <v>7</v>
      </c>
      <c r="G22" s="35">
        <v>8</v>
      </c>
      <c r="H22" s="8">
        <v>2</v>
      </c>
      <c r="I22" s="16">
        <v>4</v>
      </c>
      <c r="J22" s="42">
        <f>F22*G22+H22*I22</f>
        <v>64</v>
      </c>
      <c r="K22" s="16">
        <f>E22/(J22)</f>
        <v>179</v>
      </c>
      <c r="L22" s="3"/>
      <c r="M22" s="26">
        <f>E22+'5-25-22'!M22</f>
        <v>125400</v>
      </c>
      <c r="N22" s="27">
        <f>M22/C22</f>
        <v>1</v>
      </c>
      <c r="O22" s="42">
        <f>J22+'5-25-22'!O22</f>
        <v>525.25</v>
      </c>
      <c r="P22" s="26">
        <f>M22/O22</f>
        <v>238.7434554973822</v>
      </c>
      <c r="Q22" t="s">
        <v>85</v>
      </c>
      <c r="R22">
        <v>844</v>
      </c>
    </row>
    <row r="23" spans="1:18" ht="15.6" x14ac:dyDescent="0.3">
      <c r="A23" s="3"/>
      <c r="B23" s="3"/>
      <c r="C23" s="3"/>
      <c r="D23" s="3"/>
      <c r="E23" s="3"/>
      <c r="F23" s="3"/>
      <c r="G23" s="40"/>
      <c r="H23" s="3"/>
      <c r="I23" s="28"/>
      <c r="J23" s="40"/>
      <c r="K23" s="28"/>
      <c r="L23" s="3"/>
      <c r="M23" s="29"/>
      <c r="N23" s="3"/>
      <c r="O23" s="36"/>
      <c r="P23" s="29"/>
    </row>
    <row r="24" spans="1:18" ht="15.6" x14ac:dyDescent="0.3">
      <c r="A24" s="3"/>
      <c r="B24" s="8" t="s">
        <v>54</v>
      </c>
      <c r="C24" s="8">
        <v>125400</v>
      </c>
      <c r="D24" s="8"/>
      <c r="E24" s="8"/>
      <c r="F24" s="8">
        <v>10</v>
      </c>
      <c r="G24" s="35">
        <v>2</v>
      </c>
      <c r="H24" s="8"/>
      <c r="I24" s="16"/>
      <c r="J24" s="35">
        <f>F24*G24+H24*I24</f>
        <v>20</v>
      </c>
      <c r="K24" s="16">
        <f>E24/(J24)</f>
        <v>0</v>
      </c>
      <c r="L24" s="3"/>
      <c r="M24" s="26">
        <f>E24+'5-25-22'!M24</f>
        <v>0</v>
      </c>
      <c r="N24" s="27">
        <f>M24/C24</f>
        <v>0</v>
      </c>
      <c r="O24" s="42">
        <f>J24+'5-25-22'!O24</f>
        <v>20</v>
      </c>
      <c r="P24" s="26">
        <f>M24/O24</f>
        <v>0</v>
      </c>
    </row>
    <row r="25" spans="1:18" ht="15.6" x14ac:dyDescent="0.3">
      <c r="A25" s="3"/>
      <c r="B25" s="3"/>
      <c r="C25" s="3"/>
      <c r="D25" s="3"/>
      <c r="E25" s="3"/>
      <c r="F25" s="3"/>
      <c r="G25" s="36"/>
      <c r="H25" s="3"/>
      <c r="I25" s="4"/>
      <c r="J25" s="36"/>
      <c r="K25" s="4"/>
      <c r="L25" s="3"/>
      <c r="M25" s="29"/>
      <c r="N25" s="3"/>
      <c r="O25" s="3"/>
      <c r="P25" s="3"/>
    </row>
    <row r="26" spans="1:18" ht="15.6" x14ac:dyDescent="0.3">
      <c r="A26" s="3"/>
      <c r="B26" s="8" t="s">
        <v>44</v>
      </c>
      <c r="C26" s="8">
        <v>3040</v>
      </c>
      <c r="D26" s="8"/>
      <c r="E26" s="8"/>
      <c r="F26" s="8"/>
      <c r="G26" s="35"/>
      <c r="H26" s="8"/>
      <c r="I26" s="16"/>
      <c r="J26" s="35">
        <f>F26*G26+H26*I26</f>
        <v>0</v>
      </c>
      <c r="K26" s="16" t="e">
        <f>E26/(J26)</f>
        <v>#DIV/0!</v>
      </c>
      <c r="L26" s="3"/>
      <c r="M26" s="26">
        <f>E26+'5-25-22'!M26</f>
        <v>0</v>
      </c>
      <c r="N26" s="27">
        <f>M26/C26</f>
        <v>0</v>
      </c>
      <c r="O26" s="42">
        <f>J26+'5-25-22'!O26</f>
        <v>0</v>
      </c>
      <c r="P26" s="26" t="e">
        <f>M26/O26</f>
        <v>#DIV/0!</v>
      </c>
    </row>
    <row r="27" spans="1:18" ht="15.6" x14ac:dyDescent="0.3">
      <c r="A27" s="3"/>
      <c r="B27" s="3"/>
      <c r="C27" s="3"/>
      <c r="D27" s="3"/>
      <c r="E27" s="3"/>
      <c r="F27" s="3"/>
      <c r="G27" s="36"/>
      <c r="H27" s="3"/>
      <c r="I27" s="4"/>
      <c r="J27" s="36"/>
      <c r="K27" s="4"/>
      <c r="L27" s="3"/>
      <c r="M27" s="29"/>
      <c r="N27" s="3"/>
      <c r="O27" s="3"/>
      <c r="P27" s="3"/>
    </row>
    <row r="28" spans="1:18" ht="15.6" x14ac:dyDescent="0.3">
      <c r="A28" s="3"/>
      <c r="B28" s="8" t="s">
        <v>45</v>
      </c>
      <c r="C28" s="8">
        <v>3040</v>
      </c>
      <c r="D28" s="8"/>
      <c r="E28" s="8"/>
      <c r="F28" s="8"/>
      <c r="G28" s="35"/>
      <c r="H28" s="8"/>
      <c r="I28" s="16"/>
      <c r="J28" s="35">
        <f>F28*G28+H28*I28</f>
        <v>0</v>
      </c>
      <c r="K28" s="16" t="e">
        <f>E28/(J28)</f>
        <v>#DIV/0!</v>
      </c>
      <c r="L28" s="3"/>
      <c r="M28" s="26">
        <f>E28+'5-25-22'!M28</f>
        <v>0</v>
      </c>
      <c r="N28" s="27">
        <f>M28/C28</f>
        <v>0</v>
      </c>
      <c r="O28" s="42">
        <f>J28+'5-25-22'!O28</f>
        <v>0</v>
      </c>
      <c r="P28" s="26" t="e">
        <f>M28/O28</f>
        <v>#DIV/0!</v>
      </c>
    </row>
    <row r="29" spans="1:18" ht="15.6" x14ac:dyDescent="0.3">
      <c r="A29" s="3"/>
      <c r="B29" s="3"/>
      <c r="C29" s="3"/>
      <c r="D29" s="3"/>
      <c r="E29" s="3"/>
      <c r="F29" s="3"/>
      <c r="G29" s="36"/>
      <c r="H29" s="3"/>
      <c r="I29" s="4"/>
      <c r="J29" s="36"/>
      <c r="K29" s="4"/>
      <c r="L29" s="3"/>
      <c r="M29" s="29"/>
      <c r="N29" s="3"/>
      <c r="O29" s="3"/>
      <c r="P29" s="3"/>
    </row>
    <row r="30" spans="1:18" ht="15.6" x14ac:dyDescent="0.3">
      <c r="A30" s="3"/>
      <c r="B30" s="8" t="s">
        <v>47</v>
      </c>
      <c r="C30" s="8">
        <v>125400</v>
      </c>
      <c r="D30" s="8"/>
      <c r="E30" s="8"/>
      <c r="F30" s="8"/>
      <c r="G30" s="35"/>
      <c r="H30" s="8"/>
      <c r="I30" s="16"/>
      <c r="J30" s="35">
        <f>F30*G30+H30*I30</f>
        <v>0</v>
      </c>
      <c r="K30" s="16" t="e">
        <f>E30/(J30)</f>
        <v>#DIV/0!</v>
      </c>
      <c r="L30" s="3"/>
      <c r="M30" s="26">
        <f>E30+'5-25-22'!M30</f>
        <v>0</v>
      </c>
      <c r="N30" s="27">
        <f>M30/C30</f>
        <v>0</v>
      </c>
      <c r="O30" s="42">
        <f>J30+'5-25-22'!O30</f>
        <v>0</v>
      </c>
      <c r="P30" s="26" t="e">
        <f>M30/O30</f>
        <v>#DIV/0!</v>
      </c>
    </row>
    <row r="31" spans="1:18" ht="15.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7"/>
      <c r="O31" s="3"/>
      <c r="P31" s="3"/>
    </row>
    <row r="32" spans="1:18" ht="15.6" x14ac:dyDescent="0.3">
      <c r="A32" s="3"/>
      <c r="B32" s="8" t="s">
        <v>46</v>
      </c>
      <c r="C32" s="8">
        <v>324</v>
      </c>
      <c r="D32" s="8"/>
      <c r="E32" s="8"/>
      <c r="F32" s="8"/>
      <c r="G32" s="35"/>
      <c r="H32" s="8"/>
      <c r="I32" s="16"/>
      <c r="J32" s="35">
        <f>F32*G32+H32*I32</f>
        <v>0</v>
      </c>
      <c r="K32" s="16" t="e">
        <f>E32/(J32)</f>
        <v>#DIV/0!</v>
      </c>
      <c r="L32" s="3"/>
      <c r="M32" s="26">
        <f>E32+'5-25-22'!M32</f>
        <v>0</v>
      </c>
      <c r="N32" s="27">
        <f>M32/C32</f>
        <v>0</v>
      </c>
      <c r="O32" s="42">
        <f>J32+'5-25-22'!O32</f>
        <v>0</v>
      </c>
      <c r="P32" s="26" t="e">
        <f>M32/O32</f>
        <v>#DIV/0!</v>
      </c>
    </row>
    <row r="33" spans="1:16" ht="15.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7"/>
      <c r="O33" s="3"/>
      <c r="P33" s="3"/>
    </row>
    <row r="34" spans="1:16" ht="15.6" x14ac:dyDescent="0.3">
      <c r="A34" s="3"/>
      <c r="B34" s="8" t="s">
        <v>48</v>
      </c>
      <c r="C34" s="8">
        <v>115000</v>
      </c>
      <c r="D34" s="8"/>
      <c r="E34" s="8"/>
      <c r="F34" s="8"/>
      <c r="G34" s="35"/>
      <c r="H34" s="8"/>
      <c r="I34" s="16"/>
      <c r="J34" s="35">
        <f>F34*G34+H34*I34</f>
        <v>0</v>
      </c>
      <c r="K34" s="16" t="e">
        <f>E34/(J34)</f>
        <v>#DIV/0!</v>
      </c>
      <c r="L34" s="3"/>
      <c r="M34" s="26">
        <f>E34+'5-25-22'!M34</f>
        <v>0</v>
      </c>
      <c r="N34" s="27">
        <f>M34/C34</f>
        <v>0</v>
      </c>
      <c r="O34" s="42">
        <f>J34+'5-25-22'!O34</f>
        <v>0</v>
      </c>
      <c r="P34" s="26" t="e">
        <f>M34/O34</f>
        <v>#DIV/0!</v>
      </c>
    </row>
    <row r="35" spans="1:16" ht="15.6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27"/>
      <c r="O35" s="3"/>
      <c r="P35" s="3"/>
    </row>
    <row r="36" spans="1:16" ht="15.6" x14ac:dyDescent="0.3">
      <c r="A36" s="3"/>
      <c r="B36" s="8" t="s">
        <v>49</v>
      </c>
      <c r="C36" s="8">
        <v>8</v>
      </c>
      <c r="D36" s="8"/>
      <c r="E36" s="8"/>
      <c r="F36" s="8"/>
      <c r="G36" s="35"/>
      <c r="H36" s="8"/>
      <c r="I36" s="16"/>
      <c r="J36" s="35">
        <f>F36*G36+H36*I36</f>
        <v>0</v>
      </c>
      <c r="K36" s="16" t="e">
        <f>E36/(J36)</f>
        <v>#DIV/0!</v>
      </c>
      <c r="L36" s="3"/>
      <c r="M36" s="26">
        <f>E36+'5-25-22'!M36</f>
        <v>0</v>
      </c>
      <c r="N36" s="27">
        <f>M36/C36</f>
        <v>0</v>
      </c>
      <c r="O36" s="42">
        <f>J36+'5-25-22'!O36</f>
        <v>0</v>
      </c>
      <c r="P36" s="26" t="e">
        <f>M36/O36</f>
        <v>#DIV/0!</v>
      </c>
    </row>
    <row r="37" spans="1:16" ht="15.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27"/>
      <c r="O37" s="3"/>
      <c r="P37" s="3"/>
    </row>
    <row r="38" spans="1:16" ht="15.6" x14ac:dyDescent="0.3">
      <c r="A38" s="3"/>
      <c r="B38" s="8" t="s">
        <v>50</v>
      </c>
      <c r="C38" s="8">
        <f>2760+480</f>
        <v>3240</v>
      </c>
      <c r="D38" s="8"/>
      <c r="E38" s="8"/>
      <c r="F38" s="8"/>
      <c r="G38" s="35"/>
      <c r="H38" s="8"/>
      <c r="I38" s="16"/>
      <c r="J38" s="35">
        <f>F38*G38+H38*I38</f>
        <v>0</v>
      </c>
      <c r="K38" s="16" t="e">
        <f>E38/(J38)</f>
        <v>#DIV/0!</v>
      </c>
      <c r="L38" s="3"/>
      <c r="M38" s="26">
        <f>E38+'5-25-22'!M38</f>
        <v>0</v>
      </c>
      <c r="N38" s="27">
        <f>M38/C38</f>
        <v>0</v>
      </c>
      <c r="O38" s="42">
        <f>J38+'5-25-22'!O38</f>
        <v>0</v>
      </c>
      <c r="P38" s="26" t="e">
        <f>M38/O38</f>
        <v>#DIV/0!</v>
      </c>
    </row>
    <row r="39" spans="1:16" ht="15.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7"/>
      <c r="O39" s="3"/>
      <c r="P39" s="3"/>
    </row>
    <row r="40" spans="1:16" ht="15.6" x14ac:dyDescent="0.3">
      <c r="A40" s="3"/>
      <c r="B40" s="8" t="s">
        <v>51</v>
      </c>
      <c r="C40" s="8">
        <v>25</v>
      </c>
      <c r="D40" s="8"/>
      <c r="E40" s="8"/>
      <c r="F40" s="8"/>
      <c r="G40" s="35"/>
      <c r="H40" s="8"/>
      <c r="I40" s="16"/>
      <c r="J40" s="35">
        <f>F40*G40+H40*I40</f>
        <v>0</v>
      </c>
      <c r="K40" s="16" t="e">
        <f>E40/(J40)</f>
        <v>#DIV/0!</v>
      </c>
      <c r="L40" s="3"/>
      <c r="M40" s="26">
        <f>E40+'5-25-22'!M40</f>
        <v>0</v>
      </c>
      <c r="N40" s="27">
        <f>M40/C40</f>
        <v>0</v>
      </c>
      <c r="O40" s="42">
        <f>J40+'5-25-22'!O40</f>
        <v>0</v>
      </c>
      <c r="P40" s="26" t="e">
        <f>M40/O40</f>
        <v>#DIV/0!</v>
      </c>
    </row>
    <row r="41" spans="1:16" ht="15.6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27"/>
      <c r="O41" s="3"/>
      <c r="P41" s="3"/>
    </row>
    <row r="42" spans="1:16" ht="15.6" x14ac:dyDescent="0.3">
      <c r="A42" s="3"/>
      <c r="B42" s="8" t="s">
        <v>75</v>
      </c>
      <c r="C42" s="8"/>
      <c r="D42" s="8"/>
      <c r="E42" s="8"/>
      <c r="F42" s="8"/>
      <c r="G42" s="35"/>
      <c r="H42" s="8"/>
      <c r="I42" s="16"/>
      <c r="J42" s="35">
        <f>F42*G42+H42*I42</f>
        <v>0</v>
      </c>
      <c r="K42" s="16" t="e">
        <f>E42/(J42)</f>
        <v>#DIV/0!</v>
      </c>
      <c r="L42" s="3"/>
      <c r="M42" s="26">
        <f>E42+'5-25-22'!M42</f>
        <v>0</v>
      </c>
      <c r="N42" s="27" t="e">
        <f>M42/C42</f>
        <v>#DIV/0!</v>
      </c>
      <c r="O42" s="42">
        <f>J42+'5-25-22'!O42</f>
        <v>123.75</v>
      </c>
      <c r="P42" s="26">
        <f>M42/O42</f>
        <v>0</v>
      </c>
    </row>
    <row r="43" spans="1:16" ht="15.6" x14ac:dyDescent="0.3">
      <c r="A43" s="3"/>
      <c r="B43" s="3" t="s">
        <v>27</v>
      </c>
      <c r="C43" s="3"/>
      <c r="D43" s="3"/>
      <c r="E43" s="3"/>
      <c r="F43" s="3"/>
      <c r="G43" s="3"/>
      <c r="H43" s="30"/>
      <c r="I43" s="4"/>
      <c r="J43" s="30">
        <f>J20+J22+J24+J26+J28+J30+J32+J34+J36+J38+J40+J42</f>
        <v>84</v>
      </c>
      <c r="K43" s="3"/>
      <c r="L43" s="3"/>
      <c r="M43" s="3"/>
      <c r="N43" s="3"/>
      <c r="O43" s="30">
        <f>O20+O22+O24+O26+O28+O30+O32+O34+O36+O38+O40+O42</f>
        <v>777</v>
      </c>
      <c r="P43" s="3"/>
    </row>
    <row r="44" spans="1:16" ht="15.6" x14ac:dyDescent="0.3">
      <c r="A44" s="3"/>
      <c r="B44" s="3"/>
      <c r="C44" s="3"/>
      <c r="D44" s="3"/>
      <c r="E44" s="3"/>
      <c r="F44" s="3"/>
      <c r="G44" s="3"/>
      <c r="H44" s="3"/>
      <c r="I44" s="4"/>
      <c r="J44" s="3"/>
      <c r="K44" s="3"/>
      <c r="L44" s="3"/>
      <c r="M44" s="3"/>
      <c r="N44" s="3"/>
      <c r="O44" s="3"/>
      <c r="P44" s="3"/>
    </row>
    <row r="45" spans="1:16" ht="15.6" x14ac:dyDescent="0.3">
      <c r="A45" s="3"/>
      <c r="B45" s="3" t="s">
        <v>28</v>
      </c>
      <c r="C45" s="3" t="s">
        <v>82</v>
      </c>
      <c r="D45" s="3"/>
      <c r="E45" s="3"/>
      <c r="F45" s="3"/>
      <c r="G45" s="3"/>
      <c r="H45" s="3"/>
      <c r="I45" s="4"/>
      <c r="J45" s="3"/>
      <c r="K45" s="3"/>
      <c r="L45" s="3"/>
      <c r="M45" s="3"/>
      <c r="N45" s="3"/>
      <c r="O45" s="3"/>
      <c r="P45" s="3"/>
    </row>
    <row r="46" spans="1:16" ht="15.6" x14ac:dyDescent="0.3">
      <c r="C46" s="33"/>
    </row>
    <row r="47" spans="1:16" ht="15.6" x14ac:dyDescent="0.3">
      <c r="B47" s="3" t="s">
        <v>32</v>
      </c>
      <c r="C47" s="33" t="s">
        <v>83</v>
      </c>
    </row>
    <row r="48" spans="1:16" ht="15.6" x14ac:dyDescent="0.3">
      <c r="C48" s="33"/>
    </row>
    <row r="49" spans="2:3" ht="15.6" x14ac:dyDescent="0.3">
      <c r="B49" s="3" t="s">
        <v>33</v>
      </c>
      <c r="C49" s="3" t="s">
        <v>84</v>
      </c>
    </row>
  </sheetData>
  <mergeCells count="2">
    <mergeCell ref="A1:G1"/>
    <mergeCell ref="H7:I7"/>
  </mergeCells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33CD0-CF84-4DE9-87F9-BEA133157DB7}">
  <dimension ref="A1:P49"/>
  <sheetViews>
    <sheetView topLeftCell="A19" zoomScale="85" zoomScaleNormal="85" workbookViewId="0">
      <selection activeCell="O42" sqref="O42"/>
    </sheetView>
  </sheetViews>
  <sheetFormatPr defaultRowHeight="14.4" x14ac:dyDescent="0.3"/>
  <cols>
    <col min="1" max="1" width="11.33203125" customWidth="1"/>
    <col min="2" max="2" width="29.33203125" customWidth="1"/>
    <col min="3" max="3" width="22.109375" customWidth="1"/>
    <col min="4" max="4" width="14.88671875" customWidth="1"/>
    <col min="5" max="5" width="16.6640625" customWidth="1"/>
    <col min="6" max="6" width="17.44140625" customWidth="1"/>
    <col min="8" max="8" width="20.44140625" customWidth="1"/>
    <col min="13" max="13" width="10.6640625" customWidth="1"/>
    <col min="15" max="15" width="10.6640625" customWidth="1"/>
  </cols>
  <sheetData>
    <row r="1" spans="1:16" ht="18" x14ac:dyDescent="0.35">
      <c r="A1" s="66" t="s">
        <v>0</v>
      </c>
      <c r="B1" s="66"/>
      <c r="C1" s="66"/>
      <c r="D1" s="66"/>
      <c r="E1" s="66"/>
      <c r="F1" s="66"/>
      <c r="G1" s="66"/>
      <c r="H1" s="1"/>
      <c r="I1" s="2"/>
      <c r="J1" s="1"/>
      <c r="K1" s="1"/>
      <c r="L1" s="1"/>
      <c r="M1" s="1"/>
      <c r="N1" s="1"/>
      <c r="O1" s="1"/>
      <c r="P1" s="1"/>
    </row>
    <row r="2" spans="1:16" ht="15.6" x14ac:dyDescent="0.3">
      <c r="A2" s="3"/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</row>
    <row r="3" spans="1:16" ht="15.6" x14ac:dyDescent="0.3">
      <c r="A3" s="3"/>
      <c r="B3" s="5" t="s">
        <v>1</v>
      </c>
      <c r="C3" s="6" t="s">
        <v>43</v>
      </c>
      <c r="D3" s="7"/>
      <c r="E3" s="3"/>
      <c r="F3" s="5" t="s">
        <v>2</v>
      </c>
      <c r="G3" s="8">
        <v>4355</v>
      </c>
      <c r="H3" s="5" t="s">
        <v>41</v>
      </c>
      <c r="I3" s="36">
        <v>49</v>
      </c>
      <c r="J3" s="3"/>
      <c r="K3" s="3"/>
      <c r="L3" s="3"/>
      <c r="M3" s="3"/>
      <c r="N3" s="3"/>
      <c r="O3" s="3"/>
      <c r="P3" s="3"/>
    </row>
    <row r="4" spans="1:16" ht="15.6" x14ac:dyDescent="0.3">
      <c r="A4" s="3"/>
      <c r="B4" s="5" t="s">
        <v>3</v>
      </c>
      <c r="C4" s="37">
        <v>300155</v>
      </c>
      <c r="D4" s="7"/>
      <c r="E4" s="3"/>
      <c r="F4" s="5" t="s">
        <v>4</v>
      </c>
      <c r="G4" s="8">
        <f>J16+'5-24-22'!G4</f>
        <v>693</v>
      </c>
      <c r="H4" s="34" t="s">
        <v>42</v>
      </c>
      <c r="I4" s="4">
        <v>10</v>
      </c>
      <c r="J4" s="3"/>
      <c r="K4" s="3"/>
      <c r="L4" s="3"/>
      <c r="M4" s="3"/>
      <c r="N4" s="3"/>
      <c r="O4" s="3"/>
      <c r="P4" s="3"/>
    </row>
    <row r="5" spans="1:16" ht="15.6" x14ac:dyDescent="0.3">
      <c r="A5" s="3"/>
      <c r="B5" s="5" t="s">
        <v>5</v>
      </c>
      <c r="C5" s="38">
        <v>44706</v>
      </c>
      <c r="D5" s="3"/>
      <c r="E5" s="3"/>
      <c r="F5" s="3"/>
      <c r="G5" s="3"/>
      <c r="H5" s="3"/>
      <c r="I5" s="4"/>
      <c r="J5" s="3"/>
      <c r="K5" s="3"/>
      <c r="L5" s="3"/>
      <c r="M5" s="3"/>
      <c r="N5" s="3"/>
      <c r="O5" s="3"/>
      <c r="P5" s="3"/>
    </row>
    <row r="6" spans="1:16" ht="15.6" x14ac:dyDescent="0.3">
      <c r="A6" s="3"/>
      <c r="B6" s="5"/>
      <c r="C6" s="3"/>
      <c r="D6" s="3"/>
      <c r="E6" s="3"/>
      <c r="F6" s="3"/>
      <c r="G6" s="3"/>
      <c r="H6" s="3"/>
      <c r="I6" s="4"/>
      <c r="J6" s="3"/>
      <c r="K6" s="3"/>
      <c r="L6" s="3"/>
      <c r="M6" s="3"/>
      <c r="N6" s="3"/>
      <c r="O6" s="3"/>
      <c r="P6" s="3"/>
    </row>
    <row r="7" spans="1:16" ht="15.6" x14ac:dyDescent="0.3">
      <c r="A7" s="10" t="s">
        <v>6</v>
      </c>
      <c r="B7" s="11"/>
      <c r="C7" s="12" t="s">
        <v>7</v>
      </c>
      <c r="D7" s="3"/>
      <c r="E7" s="12" t="s">
        <v>8</v>
      </c>
      <c r="F7" s="12" t="s">
        <v>34</v>
      </c>
      <c r="G7" s="3"/>
      <c r="H7" s="67" t="s">
        <v>7</v>
      </c>
      <c r="I7" s="67"/>
      <c r="J7" s="12" t="s">
        <v>8</v>
      </c>
      <c r="K7" s="3"/>
      <c r="L7" s="3"/>
      <c r="M7" s="3"/>
      <c r="N7" s="3"/>
      <c r="O7" s="3"/>
      <c r="P7" s="3"/>
    </row>
    <row r="8" spans="1:16" ht="15.6" x14ac:dyDescent="0.3">
      <c r="A8" s="13">
        <v>1</v>
      </c>
      <c r="B8" s="5" t="s">
        <v>9</v>
      </c>
      <c r="C8" s="14" t="s">
        <v>35</v>
      </c>
      <c r="D8" s="15"/>
      <c r="E8" s="35">
        <v>10</v>
      </c>
      <c r="F8" s="16">
        <v>66</v>
      </c>
      <c r="G8" s="11">
        <v>9</v>
      </c>
      <c r="H8" s="14" t="s">
        <v>40</v>
      </c>
      <c r="I8" s="8"/>
      <c r="J8" s="39">
        <v>10</v>
      </c>
      <c r="K8" s="3"/>
      <c r="L8" s="3"/>
      <c r="M8" s="3"/>
      <c r="N8" s="3"/>
      <c r="O8" s="3"/>
      <c r="P8" s="3"/>
    </row>
    <row r="9" spans="1:16" ht="15.6" x14ac:dyDescent="0.3">
      <c r="A9" s="13">
        <v>2</v>
      </c>
      <c r="B9" s="5" t="s">
        <v>10</v>
      </c>
      <c r="C9" s="14" t="s">
        <v>37</v>
      </c>
      <c r="D9" s="8"/>
      <c r="E9" s="35">
        <v>10</v>
      </c>
      <c r="F9" s="16"/>
      <c r="G9" s="11">
        <v>10</v>
      </c>
      <c r="H9" s="14"/>
      <c r="I9" s="8"/>
      <c r="J9" s="39"/>
      <c r="K9" s="3"/>
      <c r="L9" s="3"/>
      <c r="M9" s="3"/>
      <c r="N9" s="3"/>
      <c r="O9" s="3"/>
      <c r="P9" s="3"/>
    </row>
    <row r="10" spans="1:16" ht="15.6" x14ac:dyDescent="0.3">
      <c r="A10" s="13">
        <v>3</v>
      </c>
      <c r="B10" s="5" t="s">
        <v>11</v>
      </c>
      <c r="C10" s="14" t="s">
        <v>36</v>
      </c>
      <c r="D10" s="8"/>
      <c r="E10" s="35">
        <v>10</v>
      </c>
      <c r="F10" s="16">
        <v>78</v>
      </c>
      <c r="G10" s="11">
        <v>11</v>
      </c>
      <c r="H10" s="3"/>
      <c r="I10" s="8"/>
      <c r="J10" s="39"/>
      <c r="K10" s="3"/>
      <c r="L10" s="3"/>
      <c r="M10" s="3"/>
      <c r="N10" s="3"/>
      <c r="O10" s="3"/>
      <c r="P10" s="3"/>
    </row>
    <row r="11" spans="1:16" ht="15.6" x14ac:dyDescent="0.3">
      <c r="A11" s="13">
        <v>4</v>
      </c>
      <c r="B11" s="5" t="s">
        <v>12</v>
      </c>
      <c r="C11" s="14" t="s">
        <v>29</v>
      </c>
      <c r="D11" s="8"/>
      <c r="E11" s="35">
        <v>10</v>
      </c>
      <c r="F11" s="16"/>
      <c r="G11" s="11">
        <v>12</v>
      </c>
      <c r="H11" s="3"/>
      <c r="I11" s="8"/>
      <c r="J11" s="39"/>
      <c r="K11" s="3"/>
      <c r="L11" s="3"/>
      <c r="M11" s="3"/>
      <c r="N11" s="3"/>
      <c r="O11" s="3"/>
      <c r="P11" s="3"/>
    </row>
    <row r="12" spans="1:16" ht="15.6" x14ac:dyDescent="0.3">
      <c r="A12" s="13">
        <v>5</v>
      </c>
      <c r="B12" s="3"/>
      <c r="C12" s="31" t="s">
        <v>30</v>
      </c>
      <c r="D12" s="8"/>
      <c r="E12" s="35">
        <v>10</v>
      </c>
      <c r="F12" s="16"/>
      <c r="G12" s="11">
        <v>13</v>
      </c>
      <c r="H12" s="3"/>
      <c r="I12" s="8"/>
      <c r="J12" s="39"/>
      <c r="K12" s="3"/>
      <c r="L12" s="3"/>
      <c r="M12" s="3"/>
      <c r="N12" s="3"/>
      <c r="O12" s="3"/>
      <c r="P12" s="3"/>
    </row>
    <row r="13" spans="1:16" ht="15.6" x14ac:dyDescent="0.3">
      <c r="A13" s="13">
        <v>6</v>
      </c>
      <c r="B13" s="3"/>
      <c r="C13" s="14" t="s">
        <v>31</v>
      </c>
      <c r="D13" s="8"/>
      <c r="E13" s="35">
        <v>10</v>
      </c>
      <c r="F13" s="16">
        <v>74</v>
      </c>
      <c r="G13" s="11">
        <v>14</v>
      </c>
      <c r="H13" s="18"/>
      <c r="I13" s="8"/>
      <c r="J13" s="39"/>
      <c r="K13" s="3"/>
      <c r="L13" s="3"/>
      <c r="M13" s="3"/>
      <c r="N13" s="3"/>
      <c r="O13" s="3"/>
      <c r="P13" s="3"/>
    </row>
    <row r="14" spans="1:16" ht="15.6" x14ac:dyDescent="0.3">
      <c r="A14" s="13">
        <v>7</v>
      </c>
      <c r="B14" s="5" t="s">
        <v>52</v>
      </c>
      <c r="C14" s="14" t="s">
        <v>39</v>
      </c>
      <c r="D14" s="8"/>
      <c r="E14" s="35">
        <v>10</v>
      </c>
      <c r="F14" s="16"/>
      <c r="G14" s="11">
        <v>15</v>
      </c>
      <c r="H14" s="3"/>
      <c r="I14" s="8"/>
      <c r="J14" s="39"/>
      <c r="K14" s="3"/>
      <c r="L14" s="3"/>
      <c r="M14" s="3"/>
      <c r="N14" s="3"/>
      <c r="O14" s="3"/>
      <c r="P14" s="3"/>
    </row>
    <row r="15" spans="1:16" ht="15.6" x14ac:dyDescent="0.3">
      <c r="A15" s="13">
        <v>8</v>
      </c>
      <c r="B15" s="3"/>
      <c r="C15" s="14" t="s">
        <v>38</v>
      </c>
      <c r="D15" s="8"/>
      <c r="E15" s="35">
        <v>10</v>
      </c>
      <c r="F15" s="16"/>
      <c r="G15" s="11">
        <v>16</v>
      </c>
      <c r="H15" s="3"/>
      <c r="I15" s="8"/>
      <c r="J15" s="39"/>
      <c r="K15" s="3"/>
      <c r="L15" s="3"/>
      <c r="M15" s="3"/>
      <c r="N15" s="3"/>
      <c r="O15" s="3"/>
      <c r="P15" s="3"/>
    </row>
    <row r="16" spans="1:16" ht="15.6" x14ac:dyDescent="0.3">
      <c r="A16" s="3"/>
      <c r="B16" s="3"/>
      <c r="C16" s="3"/>
      <c r="D16" s="3"/>
      <c r="E16" s="3"/>
      <c r="F16" s="3"/>
      <c r="G16" s="13"/>
      <c r="H16" s="7" t="s">
        <v>13</v>
      </c>
      <c r="I16" s="3"/>
      <c r="J16" s="8">
        <f>SUM(E8:E15)+SUM(J8:J15)</f>
        <v>90</v>
      </c>
      <c r="K16" s="3"/>
      <c r="L16" s="3"/>
      <c r="M16" s="3"/>
      <c r="N16" s="3"/>
      <c r="O16" s="3"/>
      <c r="P16" s="3"/>
    </row>
    <row r="17" spans="1:16" ht="15.6" x14ac:dyDescent="0.3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  <c r="L17" s="3"/>
      <c r="M17" s="3"/>
      <c r="N17" s="3"/>
      <c r="O17" s="3"/>
      <c r="P17" s="3"/>
    </row>
    <row r="18" spans="1:16" ht="93.6" x14ac:dyDescent="0.3">
      <c r="A18" s="19"/>
      <c r="B18" s="20" t="s">
        <v>14</v>
      </c>
      <c r="C18" s="21" t="s">
        <v>15</v>
      </c>
      <c r="D18" s="22" t="s">
        <v>16</v>
      </c>
      <c r="E18" s="22" t="s">
        <v>17</v>
      </c>
      <c r="F18" s="22" t="s">
        <v>18</v>
      </c>
      <c r="G18" s="22" t="s">
        <v>19</v>
      </c>
      <c r="H18" s="22" t="s">
        <v>18</v>
      </c>
      <c r="I18" s="22" t="s">
        <v>19</v>
      </c>
      <c r="J18" s="22" t="s">
        <v>20</v>
      </c>
      <c r="K18" s="23" t="s">
        <v>21</v>
      </c>
      <c r="L18" s="24"/>
      <c r="M18" s="23" t="s">
        <v>22</v>
      </c>
      <c r="N18" s="23" t="s">
        <v>23</v>
      </c>
      <c r="O18" s="23" t="s">
        <v>24</v>
      </c>
      <c r="P18" s="23" t="s">
        <v>25</v>
      </c>
    </row>
    <row r="19" spans="1:16" ht="15.6" x14ac:dyDescent="0.3">
      <c r="A19" s="19"/>
      <c r="B19" s="19"/>
      <c r="C19" s="24"/>
      <c r="D19" s="24"/>
      <c r="E19" s="24"/>
      <c r="F19" s="24"/>
      <c r="G19" s="24"/>
      <c r="H19" s="24"/>
      <c r="I19" s="24"/>
      <c r="J19" s="24"/>
      <c r="K19" s="25"/>
      <c r="L19" s="24"/>
      <c r="M19" s="3"/>
      <c r="N19" s="3"/>
      <c r="O19" s="3"/>
      <c r="P19" s="3"/>
    </row>
    <row r="20" spans="1:16" ht="15.6" x14ac:dyDescent="0.3">
      <c r="A20" s="3"/>
      <c r="B20" s="8" t="s">
        <v>26</v>
      </c>
      <c r="C20" s="8">
        <v>1</v>
      </c>
      <c r="D20" s="8">
        <v>1</v>
      </c>
      <c r="E20" s="8"/>
      <c r="F20" s="8"/>
      <c r="G20" s="35">
        <v>0</v>
      </c>
      <c r="H20" s="8"/>
      <c r="I20" s="16"/>
      <c r="J20" s="35">
        <f>F20*G20+H20*I20</f>
        <v>0</v>
      </c>
      <c r="K20" s="16" t="e">
        <f>E20/(J20)</f>
        <v>#DIV/0!</v>
      </c>
      <c r="L20" s="3"/>
      <c r="M20" s="26">
        <v>0</v>
      </c>
      <c r="N20" s="27">
        <f>M20/C20</f>
        <v>0</v>
      </c>
      <c r="O20" s="35">
        <f>J20+'5-24-22'!O20</f>
        <v>108</v>
      </c>
      <c r="P20" s="26">
        <f>M20/O20</f>
        <v>0</v>
      </c>
    </row>
    <row r="21" spans="1:16" ht="15.6" x14ac:dyDescent="0.3">
      <c r="A21" s="3"/>
      <c r="B21" s="3"/>
      <c r="C21" s="3"/>
      <c r="D21" s="3"/>
      <c r="E21" s="3"/>
      <c r="F21" s="3"/>
      <c r="G21" s="40"/>
      <c r="H21" s="3"/>
      <c r="I21" s="28"/>
      <c r="J21" s="40"/>
      <c r="K21" s="28"/>
      <c r="L21" s="3"/>
      <c r="M21" s="29"/>
      <c r="N21" s="3"/>
      <c r="O21" s="3"/>
      <c r="P21" s="3"/>
    </row>
    <row r="22" spans="1:16" ht="15.6" x14ac:dyDescent="0.3">
      <c r="A22" s="3"/>
      <c r="B22" s="8" t="s">
        <v>53</v>
      </c>
      <c r="C22" s="8">
        <v>125400</v>
      </c>
      <c r="D22" s="41"/>
      <c r="E22" s="41">
        <v>23826</v>
      </c>
      <c r="F22" s="8">
        <v>9</v>
      </c>
      <c r="G22" s="35">
        <v>10</v>
      </c>
      <c r="H22" s="8"/>
      <c r="I22" s="16"/>
      <c r="J22" s="35">
        <f>F22*G22+H22*I22</f>
        <v>90</v>
      </c>
      <c r="K22" s="16">
        <f>E22/(J22)</f>
        <v>264.73333333333335</v>
      </c>
      <c r="L22" s="3"/>
      <c r="M22" s="26">
        <f>E22+'5-24-22'!M22</f>
        <v>113944</v>
      </c>
      <c r="N22" s="27">
        <f>M22/C22</f>
        <v>0.90864433811802237</v>
      </c>
      <c r="O22" s="35">
        <f>J22+'5-24-22'!O22</f>
        <v>461.25</v>
      </c>
      <c r="P22" s="26">
        <f>M22/O22</f>
        <v>247.0330623306233</v>
      </c>
    </row>
    <row r="23" spans="1:16" ht="15.6" x14ac:dyDescent="0.3">
      <c r="A23" s="3"/>
      <c r="B23" s="3"/>
      <c r="C23" s="3"/>
      <c r="D23" s="3"/>
      <c r="E23" s="3"/>
      <c r="F23" s="3"/>
      <c r="G23" s="40"/>
      <c r="H23" s="3"/>
      <c r="I23" s="28"/>
      <c r="J23" s="40"/>
      <c r="K23" s="28"/>
      <c r="L23" s="3"/>
      <c r="M23" s="29"/>
      <c r="N23" s="3"/>
      <c r="O23" s="36"/>
      <c r="P23" s="29"/>
    </row>
    <row r="24" spans="1:16" ht="15.6" x14ac:dyDescent="0.3">
      <c r="A24" s="3"/>
      <c r="B24" s="8" t="s">
        <v>54</v>
      </c>
      <c r="C24" s="8">
        <v>125400</v>
      </c>
      <c r="D24" s="8"/>
      <c r="E24" s="8"/>
      <c r="F24" s="8"/>
      <c r="G24" s="35"/>
      <c r="H24" s="8"/>
      <c r="I24" s="16"/>
      <c r="J24" s="35">
        <f>F24*G24+H24*I24</f>
        <v>0</v>
      </c>
      <c r="K24" s="16" t="e">
        <f>E24/(J24)</f>
        <v>#DIV/0!</v>
      </c>
      <c r="L24" s="3"/>
      <c r="M24" s="26">
        <f>E24+'5-24-22'!M24</f>
        <v>0</v>
      </c>
      <c r="N24" s="27">
        <f>M24/C24</f>
        <v>0</v>
      </c>
      <c r="O24" s="35">
        <f>J24+'5-24-22'!O24</f>
        <v>0</v>
      </c>
      <c r="P24" s="26" t="e">
        <f>M24/O24</f>
        <v>#DIV/0!</v>
      </c>
    </row>
    <row r="25" spans="1:16" ht="15.6" x14ac:dyDescent="0.3">
      <c r="A25" s="3"/>
      <c r="B25" s="3"/>
      <c r="C25" s="3"/>
      <c r="D25" s="3"/>
      <c r="E25" s="3"/>
      <c r="F25" s="3"/>
      <c r="G25" s="36"/>
      <c r="H25" s="3"/>
      <c r="I25" s="4"/>
      <c r="J25" s="36"/>
      <c r="K25" s="4"/>
      <c r="L25" s="3"/>
      <c r="M25" s="29"/>
      <c r="N25" s="3"/>
      <c r="O25" s="3"/>
      <c r="P25" s="3"/>
    </row>
    <row r="26" spans="1:16" ht="15.6" x14ac:dyDescent="0.3">
      <c r="A26" s="3"/>
      <c r="B26" s="8" t="s">
        <v>44</v>
      </c>
      <c r="C26" s="8">
        <v>3040</v>
      </c>
      <c r="D26" s="8"/>
      <c r="E26" s="8"/>
      <c r="F26" s="8"/>
      <c r="G26" s="35"/>
      <c r="H26" s="8"/>
      <c r="I26" s="16"/>
      <c r="J26" s="35">
        <f>F26*G26+H26*I26</f>
        <v>0</v>
      </c>
      <c r="K26" s="16" t="e">
        <f>E26/(J26)</f>
        <v>#DIV/0!</v>
      </c>
      <c r="L26" s="3"/>
      <c r="M26" s="26">
        <f>E26+'5-24-22'!M26</f>
        <v>0</v>
      </c>
      <c r="N26" s="27">
        <f>M26/C26</f>
        <v>0</v>
      </c>
      <c r="O26" s="35">
        <f>J26+'5-24-22'!O26</f>
        <v>0</v>
      </c>
      <c r="P26" s="26" t="e">
        <f>M26/O26</f>
        <v>#DIV/0!</v>
      </c>
    </row>
    <row r="27" spans="1:16" ht="15.6" x14ac:dyDescent="0.3">
      <c r="A27" s="3"/>
      <c r="B27" s="3"/>
      <c r="C27" s="3"/>
      <c r="D27" s="3"/>
      <c r="E27" s="3"/>
      <c r="F27" s="3"/>
      <c r="G27" s="36"/>
      <c r="H27" s="3"/>
      <c r="I27" s="4"/>
      <c r="J27" s="36"/>
      <c r="K27" s="4"/>
      <c r="L27" s="3"/>
      <c r="M27" s="29"/>
      <c r="N27" s="3"/>
      <c r="O27" s="3"/>
      <c r="P27" s="3"/>
    </row>
    <row r="28" spans="1:16" ht="15.6" x14ac:dyDescent="0.3">
      <c r="A28" s="3"/>
      <c r="B28" s="8" t="s">
        <v>45</v>
      </c>
      <c r="C28" s="8">
        <v>3040</v>
      </c>
      <c r="D28" s="8"/>
      <c r="E28" s="8"/>
      <c r="F28" s="8"/>
      <c r="G28" s="35"/>
      <c r="H28" s="8"/>
      <c r="I28" s="16"/>
      <c r="J28" s="35">
        <f>F28*G28+H28*I28</f>
        <v>0</v>
      </c>
      <c r="K28" s="16" t="e">
        <f>E28/(J28)</f>
        <v>#DIV/0!</v>
      </c>
      <c r="L28" s="3"/>
      <c r="M28" s="26">
        <f>E28+'5-24-22'!M28</f>
        <v>0</v>
      </c>
      <c r="N28" s="27">
        <f>M28/C28</f>
        <v>0</v>
      </c>
      <c r="O28" s="35">
        <f>J28+'5-24-22'!O28</f>
        <v>0</v>
      </c>
      <c r="P28" s="26" t="e">
        <f>M28/O28</f>
        <v>#DIV/0!</v>
      </c>
    </row>
    <row r="29" spans="1:16" ht="15.6" x14ac:dyDescent="0.3">
      <c r="A29" s="3"/>
      <c r="B29" s="3"/>
      <c r="C29" s="3"/>
      <c r="D29" s="3"/>
      <c r="E29" s="3"/>
      <c r="F29" s="3"/>
      <c r="G29" s="36"/>
      <c r="H29" s="3"/>
      <c r="I29" s="4"/>
      <c r="J29" s="36"/>
      <c r="K29" s="4"/>
      <c r="L29" s="3"/>
      <c r="M29" s="29"/>
      <c r="N29" s="3"/>
      <c r="O29" s="3"/>
      <c r="P29" s="3"/>
    </row>
    <row r="30" spans="1:16" ht="15.6" x14ac:dyDescent="0.3">
      <c r="A30" s="3"/>
      <c r="B30" s="8" t="s">
        <v>47</v>
      </c>
      <c r="C30" s="8">
        <v>125400</v>
      </c>
      <c r="D30" s="8"/>
      <c r="E30" s="8"/>
      <c r="F30" s="8"/>
      <c r="G30" s="35"/>
      <c r="H30" s="8"/>
      <c r="I30" s="16"/>
      <c r="J30" s="35">
        <f>F30*G30+H30*I30</f>
        <v>0</v>
      </c>
      <c r="K30" s="16" t="e">
        <f>E30/(J30)</f>
        <v>#DIV/0!</v>
      </c>
      <c r="L30" s="3"/>
      <c r="M30" s="26">
        <f>E30+'5-24-22'!M30</f>
        <v>0</v>
      </c>
      <c r="N30" s="27">
        <f>M30/C30</f>
        <v>0</v>
      </c>
      <c r="O30" s="35">
        <f>J30+'5-24-22'!O30</f>
        <v>0</v>
      </c>
      <c r="P30" s="26" t="e">
        <f>M30/O30</f>
        <v>#DIV/0!</v>
      </c>
    </row>
    <row r="31" spans="1:16" ht="15.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7"/>
      <c r="O31" s="3"/>
      <c r="P31" s="3"/>
    </row>
    <row r="32" spans="1:16" ht="15.6" x14ac:dyDescent="0.3">
      <c r="A32" s="3"/>
      <c r="B32" s="8" t="s">
        <v>46</v>
      </c>
      <c r="C32" s="8">
        <v>324</v>
      </c>
      <c r="D32" s="8"/>
      <c r="E32" s="8"/>
      <c r="F32" s="8"/>
      <c r="G32" s="35"/>
      <c r="H32" s="8"/>
      <c r="I32" s="16"/>
      <c r="J32" s="35">
        <f>F32*G32+H32*I32</f>
        <v>0</v>
      </c>
      <c r="K32" s="16" t="e">
        <f>E32/(J32)</f>
        <v>#DIV/0!</v>
      </c>
      <c r="L32" s="3"/>
      <c r="M32" s="26">
        <f>E32+'5-24-22'!M32</f>
        <v>0</v>
      </c>
      <c r="N32" s="27">
        <f>M32/C32</f>
        <v>0</v>
      </c>
      <c r="O32" s="35">
        <f>J32+'5-24-22'!O32</f>
        <v>0</v>
      </c>
      <c r="P32" s="26" t="e">
        <f>M32/O32</f>
        <v>#DIV/0!</v>
      </c>
    </row>
    <row r="33" spans="1:16" ht="15.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7"/>
      <c r="O33" s="3"/>
      <c r="P33" s="3"/>
    </row>
    <row r="34" spans="1:16" ht="15.6" x14ac:dyDescent="0.3">
      <c r="A34" s="3"/>
      <c r="B34" s="8" t="s">
        <v>48</v>
      </c>
      <c r="C34" s="8">
        <v>115000</v>
      </c>
      <c r="D34" s="8"/>
      <c r="E34" s="8"/>
      <c r="F34" s="8"/>
      <c r="G34" s="35"/>
      <c r="H34" s="8"/>
      <c r="I34" s="16"/>
      <c r="J34" s="35">
        <f>F34*G34+H34*I34</f>
        <v>0</v>
      </c>
      <c r="K34" s="16" t="e">
        <f>E34/(J34)</f>
        <v>#DIV/0!</v>
      </c>
      <c r="L34" s="3"/>
      <c r="M34" s="26">
        <f>E34+'5-24-22'!M34</f>
        <v>0</v>
      </c>
      <c r="N34" s="27">
        <f>M34/C34</f>
        <v>0</v>
      </c>
      <c r="O34" s="35">
        <f>J34+'5-24-22'!O34</f>
        <v>0</v>
      </c>
      <c r="P34" s="26" t="e">
        <f>M34/O34</f>
        <v>#DIV/0!</v>
      </c>
    </row>
    <row r="35" spans="1:16" ht="15.6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27"/>
      <c r="O35" s="3"/>
      <c r="P35" s="3"/>
    </row>
    <row r="36" spans="1:16" ht="15.6" x14ac:dyDescent="0.3">
      <c r="A36" s="3"/>
      <c r="B36" s="8" t="s">
        <v>49</v>
      </c>
      <c r="C36" s="8">
        <v>8</v>
      </c>
      <c r="D36" s="8"/>
      <c r="E36" s="8"/>
      <c r="F36" s="8"/>
      <c r="G36" s="35"/>
      <c r="H36" s="8"/>
      <c r="I36" s="16"/>
      <c r="J36" s="35">
        <f>F36*G36+H36*I36</f>
        <v>0</v>
      </c>
      <c r="K36" s="16" t="e">
        <f>E36/(J36)</f>
        <v>#DIV/0!</v>
      </c>
      <c r="L36" s="3"/>
      <c r="M36" s="26">
        <f>E36+'5-24-22'!M36</f>
        <v>0</v>
      </c>
      <c r="N36" s="27">
        <f>M36/C36</f>
        <v>0</v>
      </c>
      <c r="O36" s="35">
        <f>J36+'5-24-22'!O36</f>
        <v>0</v>
      </c>
      <c r="P36" s="26" t="e">
        <f>M36/O36</f>
        <v>#DIV/0!</v>
      </c>
    </row>
    <row r="37" spans="1:16" ht="15.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27"/>
      <c r="O37" s="3"/>
      <c r="P37" s="3"/>
    </row>
    <row r="38" spans="1:16" ht="15.6" x14ac:dyDescent="0.3">
      <c r="A38" s="3"/>
      <c r="B38" s="8" t="s">
        <v>50</v>
      </c>
      <c r="C38" s="8">
        <f>2760+480</f>
        <v>3240</v>
      </c>
      <c r="D38" s="8"/>
      <c r="E38" s="8"/>
      <c r="F38" s="8"/>
      <c r="G38" s="35"/>
      <c r="H38" s="8"/>
      <c r="I38" s="16"/>
      <c r="J38" s="35">
        <f>F38*G38+H38*I38</f>
        <v>0</v>
      </c>
      <c r="K38" s="16" t="e">
        <f>E38/(J38)</f>
        <v>#DIV/0!</v>
      </c>
      <c r="L38" s="3"/>
      <c r="M38" s="26">
        <f>E38+'5-24-22'!M38</f>
        <v>0</v>
      </c>
      <c r="N38" s="27">
        <f>M38/C38</f>
        <v>0</v>
      </c>
      <c r="O38" s="35">
        <f>J38+'5-24-22'!O38</f>
        <v>0</v>
      </c>
      <c r="P38" s="26" t="e">
        <f>M38/O38</f>
        <v>#DIV/0!</v>
      </c>
    </row>
    <row r="39" spans="1:16" ht="15.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7"/>
      <c r="O39" s="3"/>
      <c r="P39" s="3"/>
    </row>
    <row r="40" spans="1:16" ht="15.6" x14ac:dyDescent="0.3">
      <c r="A40" s="3"/>
      <c r="B40" s="8" t="s">
        <v>51</v>
      </c>
      <c r="C40" s="8">
        <v>25</v>
      </c>
      <c r="D40" s="8"/>
      <c r="E40" s="8"/>
      <c r="F40" s="8"/>
      <c r="G40" s="35"/>
      <c r="H40" s="8"/>
      <c r="I40" s="16"/>
      <c r="J40" s="35">
        <f>F40*G40+H40*I40</f>
        <v>0</v>
      </c>
      <c r="K40" s="16" t="e">
        <f>E40/(J40)</f>
        <v>#DIV/0!</v>
      </c>
      <c r="L40" s="3"/>
      <c r="M40" s="26">
        <f>E40+'5-24-22'!M40</f>
        <v>0</v>
      </c>
      <c r="N40" s="27">
        <f>M40/C40</f>
        <v>0</v>
      </c>
      <c r="O40" s="35">
        <f>J40+'5-24-22'!O40</f>
        <v>0</v>
      </c>
      <c r="P40" s="26" t="e">
        <f>M40/O40</f>
        <v>#DIV/0!</v>
      </c>
    </row>
    <row r="41" spans="1:16" ht="15.6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27"/>
      <c r="O41" s="3"/>
      <c r="P41" s="3"/>
    </row>
    <row r="42" spans="1:16" ht="15.6" x14ac:dyDescent="0.3">
      <c r="A42" s="3"/>
      <c r="B42" s="8" t="s">
        <v>75</v>
      </c>
      <c r="C42" s="8"/>
      <c r="D42" s="8"/>
      <c r="E42" s="8"/>
      <c r="F42" s="8"/>
      <c r="G42" s="35"/>
      <c r="H42" s="8"/>
      <c r="I42" s="16"/>
      <c r="J42" s="35">
        <f>F42*G42+H42*I42</f>
        <v>0</v>
      </c>
      <c r="K42" s="16" t="e">
        <f>E42/(J42)</f>
        <v>#DIV/0!</v>
      </c>
      <c r="L42" s="3"/>
      <c r="M42" s="26">
        <f>E42+'5-24-22'!M42</f>
        <v>0</v>
      </c>
      <c r="N42" s="27" t="e">
        <f>M42/C42</f>
        <v>#DIV/0!</v>
      </c>
      <c r="O42" s="35">
        <f>J42+'5-24-22'!O42</f>
        <v>123.75</v>
      </c>
      <c r="P42" s="26">
        <f>M42/O42</f>
        <v>0</v>
      </c>
    </row>
    <row r="43" spans="1:16" ht="15.6" x14ac:dyDescent="0.3">
      <c r="A43" s="3"/>
      <c r="B43" s="3" t="s">
        <v>27</v>
      </c>
      <c r="C43" s="3"/>
      <c r="D43" s="3"/>
      <c r="E43" s="3"/>
      <c r="F43" s="3"/>
      <c r="G43" s="3"/>
      <c r="H43" s="30"/>
      <c r="I43" s="4"/>
      <c r="J43" s="3">
        <f>J20+J22+J24+J26+J28+J30+J32+J34+J36+J38+J40+J42</f>
        <v>90</v>
      </c>
      <c r="K43" s="3"/>
      <c r="L43" s="3"/>
      <c r="M43" s="3"/>
      <c r="N43" s="3"/>
      <c r="O43" s="3">
        <f>O20+O22+O24+O26+O28+O30+O32+O34+O36+O38+O40+O42</f>
        <v>693</v>
      </c>
      <c r="P43" s="3"/>
    </row>
    <row r="44" spans="1:16" ht="15.6" x14ac:dyDescent="0.3">
      <c r="A44" s="3"/>
      <c r="B44" s="3"/>
      <c r="C44" s="3"/>
      <c r="D44" s="3"/>
      <c r="E44" s="3"/>
      <c r="F44" s="3"/>
      <c r="G44" s="3"/>
      <c r="H44" s="3"/>
      <c r="I44" s="4"/>
      <c r="J44" s="3"/>
      <c r="K44" s="3"/>
      <c r="L44" s="3"/>
      <c r="M44" s="3"/>
      <c r="N44" s="3"/>
      <c r="O44" s="3"/>
      <c r="P44" s="3"/>
    </row>
    <row r="45" spans="1:16" ht="15.6" x14ac:dyDescent="0.3">
      <c r="A45" s="3"/>
      <c r="B45" s="3" t="s">
        <v>28</v>
      </c>
      <c r="C45" s="3" t="s">
        <v>79</v>
      </c>
      <c r="D45" s="3"/>
      <c r="E45" s="3"/>
      <c r="F45" s="3"/>
      <c r="G45" s="3"/>
      <c r="H45" s="3"/>
      <c r="I45" s="4"/>
      <c r="J45" s="3"/>
      <c r="K45" s="3"/>
      <c r="L45" s="3"/>
      <c r="M45" s="3"/>
      <c r="N45" s="3"/>
      <c r="O45" s="3"/>
      <c r="P45" s="3"/>
    </row>
    <row r="46" spans="1:16" ht="15.6" x14ac:dyDescent="0.3">
      <c r="C46" s="33"/>
    </row>
    <row r="47" spans="1:16" ht="15.6" x14ac:dyDescent="0.3">
      <c r="B47" s="3" t="s">
        <v>32</v>
      </c>
      <c r="C47" s="33" t="s">
        <v>80</v>
      </c>
    </row>
    <row r="48" spans="1:16" ht="15.6" x14ac:dyDescent="0.3">
      <c r="C48" s="33"/>
    </row>
    <row r="49" spans="2:3" ht="15.6" x14ac:dyDescent="0.3">
      <c r="B49" s="3" t="s">
        <v>33</v>
      </c>
      <c r="C49" s="3" t="s">
        <v>81</v>
      </c>
    </row>
  </sheetData>
  <mergeCells count="2">
    <mergeCell ref="A1:G1"/>
    <mergeCell ref="H7:I7"/>
  </mergeCells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134ED-9948-4EA1-8EE3-D759DB7DD474}">
  <dimension ref="A1:P49"/>
  <sheetViews>
    <sheetView topLeftCell="A19" zoomScale="85" zoomScaleNormal="85" workbookViewId="0">
      <selection activeCell="M32" sqref="M32"/>
    </sheetView>
  </sheetViews>
  <sheetFormatPr defaultRowHeight="14.4" x14ac:dyDescent="0.3"/>
  <cols>
    <col min="1" max="1" width="11.33203125" customWidth="1"/>
    <col min="2" max="2" width="29.33203125" customWidth="1"/>
    <col min="3" max="3" width="22.109375" customWidth="1"/>
    <col min="4" max="4" width="14.88671875" customWidth="1"/>
    <col min="5" max="5" width="16.6640625" customWidth="1"/>
    <col min="6" max="6" width="17.44140625" customWidth="1"/>
    <col min="8" max="8" width="20.44140625" customWidth="1"/>
    <col min="13" max="13" width="10.6640625" customWidth="1"/>
    <col min="15" max="15" width="10.6640625" customWidth="1"/>
  </cols>
  <sheetData>
    <row r="1" spans="1:16" ht="18" x14ac:dyDescent="0.35">
      <c r="A1" s="66" t="s">
        <v>0</v>
      </c>
      <c r="B1" s="66"/>
      <c r="C1" s="66"/>
      <c r="D1" s="66"/>
      <c r="E1" s="66"/>
      <c r="F1" s="66"/>
      <c r="G1" s="66"/>
      <c r="H1" s="1"/>
      <c r="I1" s="2"/>
      <c r="J1" s="1"/>
      <c r="K1" s="1"/>
      <c r="L1" s="1"/>
      <c r="M1" s="1"/>
      <c r="N1" s="1"/>
      <c r="O1" s="1"/>
      <c r="P1" s="1"/>
    </row>
    <row r="2" spans="1:16" ht="15.6" x14ac:dyDescent="0.3">
      <c r="A2" s="3"/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</row>
    <row r="3" spans="1:16" ht="15.6" x14ac:dyDescent="0.3">
      <c r="A3" s="3"/>
      <c r="B3" s="5" t="s">
        <v>1</v>
      </c>
      <c r="C3" s="6" t="s">
        <v>43</v>
      </c>
      <c r="D3" s="7"/>
      <c r="E3" s="3"/>
      <c r="F3" s="5" t="s">
        <v>2</v>
      </c>
      <c r="G3" s="8">
        <v>4355</v>
      </c>
      <c r="H3" s="5" t="s">
        <v>41</v>
      </c>
      <c r="I3" s="36">
        <v>49</v>
      </c>
      <c r="J3" s="3"/>
      <c r="K3" s="3"/>
      <c r="L3" s="3"/>
      <c r="M3" s="3"/>
      <c r="N3" s="3"/>
      <c r="O3" s="3"/>
      <c r="P3" s="3"/>
    </row>
    <row r="4" spans="1:16" ht="15.6" x14ac:dyDescent="0.3">
      <c r="A4" s="3"/>
      <c r="B4" s="5" t="s">
        <v>3</v>
      </c>
      <c r="C4" s="37">
        <v>300155</v>
      </c>
      <c r="D4" s="7"/>
      <c r="E4" s="3"/>
      <c r="F4" s="5" t="s">
        <v>4</v>
      </c>
      <c r="G4" s="8">
        <f>J16+'5-23-22'!G4</f>
        <v>603</v>
      </c>
      <c r="H4" s="34" t="s">
        <v>42</v>
      </c>
      <c r="I4" s="4">
        <v>9</v>
      </c>
      <c r="J4" s="3"/>
      <c r="K4" s="3"/>
      <c r="L4" s="3"/>
      <c r="M4" s="3"/>
      <c r="N4" s="3"/>
      <c r="O4" s="3"/>
      <c r="P4" s="3"/>
    </row>
    <row r="5" spans="1:16" ht="15.6" x14ac:dyDescent="0.3">
      <c r="A5" s="3"/>
      <c r="B5" s="5" t="s">
        <v>5</v>
      </c>
      <c r="C5" s="38">
        <v>44705</v>
      </c>
      <c r="D5" s="3"/>
      <c r="E5" s="3"/>
      <c r="F5" s="3"/>
      <c r="G5" s="3"/>
      <c r="H5" s="3"/>
      <c r="I5" s="4"/>
      <c r="J5" s="3"/>
      <c r="K5" s="3"/>
      <c r="L5" s="3"/>
      <c r="M5" s="3"/>
      <c r="N5" s="3"/>
      <c r="O5" s="3"/>
      <c r="P5" s="3"/>
    </row>
    <row r="6" spans="1:16" ht="15.6" x14ac:dyDescent="0.3">
      <c r="A6" s="3"/>
      <c r="B6" s="5"/>
      <c r="C6" s="3"/>
      <c r="D6" s="3"/>
      <c r="E6" s="3"/>
      <c r="F6" s="3"/>
      <c r="G6" s="3"/>
      <c r="H6" s="3"/>
      <c r="I6" s="4"/>
      <c r="J6" s="3"/>
      <c r="K6" s="3"/>
      <c r="L6" s="3"/>
      <c r="M6" s="3"/>
      <c r="N6" s="3"/>
      <c r="O6" s="3"/>
      <c r="P6" s="3"/>
    </row>
    <row r="7" spans="1:16" ht="15.6" x14ac:dyDescent="0.3">
      <c r="A7" s="10" t="s">
        <v>6</v>
      </c>
      <c r="B7" s="11"/>
      <c r="C7" s="12" t="s">
        <v>7</v>
      </c>
      <c r="D7" s="3"/>
      <c r="E7" s="12" t="s">
        <v>8</v>
      </c>
      <c r="F7" s="12" t="s">
        <v>34</v>
      </c>
      <c r="G7" s="3"/>
      <c r="H7" s="67" t="s">
        <v>7</v>
      </c>
      <c r="I7" s="67"/>
      <c r="J7" s="12" t="s">
        <v>8</v>
      </c>
      <c r="K7" s="3"/>
      <c r="L7" s="3"/>
      <c r="M7" s="3"/>
      <c r="N7" s="3"/>
      <c r="O7" s="3"/>
      <c r="P7" s="3"/>
    </row>
    <row r="8" spans="1:16" ht="15.6" x14ac:dyDescent="0.3">
      <c r="A8" s="13">
        <v>1</v>
      </c>
      <c r="B8" s="5" t="s">
        <v>9</v>
      </c>
      <c r="C8" s="14" t="s">
        <v>35</v>
      </c>
      <c r="D8" s="15"/>
      <c r="E8" s="35">
        <v>8.5</v>
      </c>
      <c r="F8" s="16">
        <v>66</v>
      </c>
      <c r="G8" s="11">
        <v>9</v>
      </c>
      <c r="H8" s="14" t="s">
        <v>40</v>
      </c>
      <c r="I8" s="8"/>
      <c r="J8" s="39">
        <v>8.5</v>
      </c>
      <c r="K8" s="3"/>
      <c r="L8" s="3"/>
      <c r="M8" s="3"/>
      <c r="N8" s="3"/>
      <c r="O8" s="3"/>
      <c r="P8" s="3"/>
    </row>
    <row r="9" spans="1:16" ht="15.6" x14ac:dyDescent="0.3">
      <c r="A9" s="13">
        <v>2</v>
      </c>
      <c r="B9" s="5" t="s">
        <v>10</v>
      </c>
      <c r="C9" s="14" t="s">
        <v>37</v>
      </c>
      <c r="D9" s="8"/>
      <c r="E9" s="35">
        <v>8.5</v>
      </c>
      <c r="F9" s="16"/>
      <c r="G9" s="11">
        <v>10</v>
      </c>
      <c r="H9" s="14"/>
      <c r="I9" s="8"/>
      <c r="J9" s="39"/>
      <c r="K9" s="3"/>
      <c r="L9" s="3"/>
      <c r="M9" s="3"/>
      <c r="N9" s="3"/>
      <c r="O9" s="3"/>
      <c r="P9" s="3"/>
    </row>
    <row r="10" spans="1:16" ht="15.6" x14ac:dyDescent="0.3">
      <c r="A10" s="13">
        <v>3</v>
      </c>
      <c r="B10" s="5" t="s">
        <v>11</v>
      </c>
      <c r="C10" s="14" t="s">
        <v>36</v>
      </c>
      <c r="D10" s="8"/>
      <c r="E10" s="35">
        <v>8.5</v>
      </c>
      <c r="F10" s="16">
        <v>78</v>
      </c>
      <c r="G10" s="11">
        <v>11</v>
      </c>
      <c r="H10" s="3"/>
      <c r="I10" s="8"/>
      <c r="J10" s="39"/>
      <c r="K10" s="3"/>
      <c r="L10" s="3"/>
      <c r="M10" s="3"/>
      <c r="N10" s="3"/>
      <c r="O10" s="3"/>
      <c r="P10" s="3"/>
    </row>
    <row r="11" spans="1:16" ht="15.6" x14ac:dyDescent="0.3">
      <c r="A11" s="13">
        <v>4</v>
      </c>
      <c r="B11" s="5" t="s">
        <v>12</v>
      </c>
      <c r="C11" s="14" t="s">
        <v>29</v>
      </c>
      <c r="D11" s="8"/>
      <c r="E11" s="35">
        <v>8.5</v>
      </c>
      <c r="F11" s="16"/>
      <c r="G11" s="11">
        <v>12</v>
      </c>
      <c r="H11" s="3"/>
      <c r="I11" s="8"/>
      <c r="J11" s="39"/>
      <c r="K11" s="3"/>
      <c r="L11" s="3"/>
      <c r="M11" s="3"/>
      <c r="N11" s="3"/>
      <c r="O11" s="3"/>
      <c r="P11" s="3"/>
    </row>
    <row r="12" spans="1:16" ht="15.6" x14ac:dyDescent="0.3">
      <c r="A12" s="13">
        <v>5</v>
      </c>
      <c r="B12" s="3"/>
      <c r="C12" s="31" t="s">
        <v>30</v>
      </c>
      <c r="D12" s="8"/>
      <c r="E12" s="35">
        <v>8.5</v>
      </c>
      <c r="F12" s="16"/>
      <c r="G12" s="11">
        <v>13</v>
      </c>
      <c r="H12" s="3"/>
      <c r="I12" s="8"/>
      <c r="J12" s="39"/>
      <c r="K12" s="3"/>
      <c r="L12" s="3"/>
      <c r="M12" s="3"/>
      <c r="N12" s="3"/>
      <c r="O12" s="3"/>
      <c r="P12" s="3"/>
    </row>
    <row r="13" spans="1:16" ht="15.6" x14ac:dyDescent="0.3">
      <c r="A13" s="13">
        <v>6</v>
      </c>
      <c r="B13" s="3"/>
      <c r="C13" s="14" t="s">
        <v>31</v>
      </c>
      <c r="D13" s="8"/>
      <c r="E13" s="35">
        <v>8.5</v>
      </c>
      <c r="F13" s="16">
        <v>74</v>
      </c>
      <c r="G13" s="11">
        <v>14</v>
      </c>
      <c r="H13" s="18"/>
      <c r="I13" s="8"/>
      <c r="J13" s="39"/>
      <c r="K13" s="3"/>
      <c r="L13" s="3"/>
      <c r="M13" s="3"/>
      <c r="N13" s="3"/>
      <c r="O13" s="3"/>
      <c r="P13" s="3"/>
    </row>
    <row r="14" spans="1:16" ht="15.6" x14ac:dyDescent="0.3">
      <c r="A14" s="13">
        <v>7</v>
      </c>
      <c r="B14" s="5" t="s">
        <v>52</v>
      </c>
      <c r="C14" s="14" t="s">
        <v>39</v>
      </c>
      <c r="D14" s="8"/>
      <c r="E14" s="35">
        <v>8.5</v>
      </c>
      <c r="F14" s="16"/>
      <c r="G14" s="11">
        <v>15</v>
      </c>
      <c r="H14" s="3"/>
      <c r="I14" s="8"/>
      <c r="J14" s="39"/>
      <c r="K14" s="3"/>
      <c r="L14" s="3"/>
      <c r="M14" s="3"/>
      <c r="N14" s="3"/>
      <c r="O14" s="3"/>
      <c r="P14" s="3"/>
    </row>
    <row r="15" spans="1:16" ht="15.6" x14ac:dyDescent="0.3">
      <c r="A15" s="13">
        <v>8</v>
      </c>
      <c r="B15" s="3"/>
      <c r="C15" s="14" t="s">
        <v>38</v>
      </c>
      <c r="D15" s="8"/>
      <c r="E15" s="35">
        <v>8.5</v>
      </c>
      <c r="F15" s="16"/>
      <c r="G15" s="11">
        <v>16</v>
      </c>
      <c r="H15" s="3"/>
      <c r="I15" s="8"/>
      <c r="J15" s="39"/>
      <c r="K15" s="3"/>
      <c r="L15" s="3"/>
      <c r="M15" s="3"/>
      <c r="N15" s="3"/>
      <c r="O15" s="3"/>
      <c r="P15" s="3"/>
    </row>
    <row r="16" spans="1:16" ht="15.6" x14ac:dyDescent="0.3">
      <c r="A16" s="3"/>
      <c r="B16" s="3"/>
      <c r="C16" s="3"/>
      <c r="D16" s="3"/>
      <c r="E16" s="3"/>
      <c r="F16" s="3"/>
      <c r="G16" s="13"/>
      <c r="H16" s="7" t="s">
        <v>13</v>
      </c>
      <c r="I16" s="3"/>
      <c r="J16" s="8">
        <f>SUM(E8:E15)+SUM(J8:J15)</f>
        <v>76.5</v>
      </c>
      <c r="K16" s="3"/>
      <c r="L16" s="3"/>
      <c r="M16" s="3"/>
      <c r="N16" s="3"/>
      <c r="O16" s="3"/>
      <c r="P16" s="3"/>
    </row>
    <row r="17" spans="1:16" ht="15.6" x14ac:dyDescent="0.3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  <c r="L17" s="3"/>
      <c r="M17" s="3"/>
      <c r="N17" s="3"/>
      <c r="O17" s="3"/>
      <c r="P17" s="3"/>
    </row>
    <row r="18" spans="1:16" ht="93.6" x14ac:dyDescent="0.3">
      <c r="A18" s="19"/>
      <c r="B18" s="20" t="s">
        <v>14</v>
      </c>
      <c r="C18" s="21" t="s">
        <v>15</v>
      </c>
      <c r="D18" s="22" t="s">
        <v>16</v>
      </c>
      <c r="E18" s="22" t="s">
        <v>17</v>
      </c>
      <c r="F18" s="22" t="s">
        <v>18</v>
      </c>
      <c r="G18" s="22" t="s">
        <v>19</v>
      </c>
      <c r="H18" s="22" t="s">
        <v>18</v>
      </c>
      <c r="I18" s="22" t="s">
        <v>19</v>
      </c>
      <c r="J18" s="22" t="s">
        <v>20</v>
      </c>
      <c r="K18" s="23" t="s">
        <v>21</v>
      </c>
      <c r="L18" s="24"/>
      <c r="M18" s="23" t="s">
        <v>22</v>
      </c>
      <c r="N18" s="23" t="s">
        <v>23</v>
      </c>
      <c r="O18" s="23" t="s">
        <v>24</v>
      </c>
      <c r="P18" s="23" t="s">
        <v>25</v>
      </c>
    </row>
    <row r="19" spans="1:16" ht="15.6" x14ac:dyDescent="0.3">
      <c r="A19" s="19"/>
      <c r="B19" s="19"/>
      <c r="C19" s="24"/>
      <c r="D19" s="24"/>
      <c r="E19" s="24"/>
      <c r="F19" s="24"/>
      <c r="G19" s="24"/>
      <c r="H19" s="24"/>
      <c r="I19" s="24"/>
      <c r="J19" s="24"/>
      <c r="K19" s="25"/>
      <c r="L19" s="24"/>
      <c r="M19" s="3"/>
      <c r="N19" s="3"/>
      <c r="O19" s="3"/>
      <c r="P19" s="3"/>
    </row>
    <row r="20" spans="1:16" ht="15.6" x14ac:dyDescent="0.3">
      <c r="A20" s="3"/>
      <c r="B20" s="8" t="s">
        <v>26</v>
      </c>
      <c r="C20" s="8">
        <v>1</v>
      </c>
      <c r="D20" s="8">
        <v>1</v>
      </c>
      <c r="E20" s="8"/>
      <c r="F20" s="8"/>
      <c r="G20" s="35">
        <v>0</v>
      </c>
      <c r="H20" s="8"/>
      <c r="I20" s="16"/>
      <c r="J20" s="35">
        <f>F20*G20+H20*I20</f>
        <v>0</v>
      </c>
      <c r="K20" s="16" t="e">
        <f>E20/(J20)</f>
        <v>#DIV/0!</v>
      </c>
      <c r="L20" s="3"/>
      <c r="M20" s="26">
        <v>0</v>
      </c>
      <c r="N20" s="27">
        <f>M20/C20</f>
        <v>0</v>
      </c>
      <c r="O20" s="35">
        <f>J20+'5-23-22'!O20</f>
        <v>108</v>
      </c>
      <c r="P20" s="26">
        <f>M20/O20</f>
        <v>0</v>
      </c>
    </row>
    <row r="21" spans="1:16" ht="15.6" x14ac:dyDescent="0.3">
      <c r="A21" s="3"/>
      <c r="B21" s="3"/>
      <c r="C21" s="3"/>
      <c r="D21" s="3"/>
      <c r="E21" s="3"/>
      <c r="F21" s="3"/>
      <c r="G21" s="40"/>
      <c r="H21" s="3"/>
      <c r="I21" s="28"/>
      <c r="J21" s="40"/>
      <c r="K21" s="28"/>
      <c r="L21" s="3"/>
      <c r="M21" s="29"/>
      <c r="N21" s="3"/>
      <c r="O21" s="3"/>
      <c r="P21" s="3"/>
    </row>
    <row r="22" spans="1:16" ht="15.6" x14ac:dyDescent="0.3">
      <c r="A22" s="3"/>
      <c r="B22" s="8" t="s">
        <v>53</v>
      </c>
      <c r="C22" s="8">
        <v>125400</v>
      </c>
      <c r="D22" s="41"/>
      <c r="E22" s="41">
        <v>9600</v>
      </c>
      <c r="F22" s="8">
        <v>9</v>
      </c>
      <c r="G22" s="35">
        <v>8.5</v>
      </c>
      <c r="H22" s="8"/>
      <c r="I22" s="16"/>
      <c r="J22" s="35">
        <f>F22*G22+H22*I22</f>
        <v>76.5</v>
      </c>
      <c r="K22" s="16">
        <f>E22/(J22)</f>
        <v>125.49019607843137</v>
      </c>
      <c r="L22" s="3"/>
      <c r="M22" s="26">
        <f>E22+'5-23-22'!M22</f>
        <v>90118</v>
      </c>
      <c r="N22" s="27">
        <f>M22/C22</f>
        <v>0.71864433811802231</v>
      </c>
      <c r="O22" s="35">
        <f>J22+'5-23-22'!O22</f>
        <v>371.25</v>
      </c>
      <c r="P22" s="26">
        <f>M22/O22</f>
        <v>242.74208754208755</v>
      </c>
    </row>
    <row r="23" spans="1:16" ht="15.6" x14ac:dyDescent="0.3">
      <c r="A23" s="3"/>
      <c r="B23" s="3"/>
      <c r="C23" s="3"/>
      <c r="D23" s="3"/>
      <c r="E23" s="3"/>
      <c r="F23" s="3"/>
      <c r="G23" s="40"/>
      <c r="H23" s="3"/>
      <c r="I23" s="28"/>
      <c r="J23" s="40"/>
      <c r="K23" s="28"/>
      <c r="L23" s="3"/>
      <c r="M23" s="29"/>
      <c r="N23" s="3"/>
      <c r="O23" s="36"/>
      <c r="P23" s="29"/>
    </row>
    <row r="24" spans="1:16" ht="15.6" x14ac:dyDescent="0.3">
      <c r="A24" s="3"/>
      <c r="B24" s="8" t="s">
        <v>54</v>
      </c>
      <c r="C24" s="8">
        <v>125400</v>
      </c>
      <c r="D24" s="8"/>
      <c r="E24" s="8"/>
      <c r="F24" s="8"/>
      <c r="G24" s="35"/>
      <c r="H24" s="8"/>
      <c r="I24" s="16"/>
      <c r="J24" s="35">
        <f>F24*G24+H24*I24</f>
        <v>0</v>
      </c>
      <c r="K24" s="16" t="e">
        <f>E24/(J24)</f>
        <v>#DIV/0!</v>
      </c>
      <c r="L24" s="3"/>
      <c r="M24" s="26">
        <f>E24+'5-23-22'!M24</f>
        <v>0</v>
      </c>
      <c r="N24" s="27">
        <f>M24/C24</f>
        <v>0</v>
      </c>
      <c r="O24" s="35">
        <f>J24+'5-23-22'!O24</f>
        <v>0</v>
      </c>
      <c r="P24" s="26" t="e">
        <f>M24/O24</f>
        <v>#DIV/0!</v>
      </c>
    </row>
    <row r="25" spans="1:16" ht="15.6" x14ac:dyDescent="0.3">
      <c r="A25" s="3"/>
      <c r="B25" s="3"/>
      <c r="C25" s="3"/>
      <c r="D25" s="3"/>
      <c r="E25" s="3"/>
      <c r="F25" s="3"/>
      <c r="G25" s="36"/>
      <c r="H25" s="3"/>
      <c r="I25" s="4"/>
      <c r="J25" s="36"/>
      <c r="K25" s="4"/>
      <c r="L25" s="3"/>
      <c r="M25" s="29"/>
      <c r="N25" s="3"/>
      <c r="O25" s="3"/>
      <c r="P25" s="3"/>
    </row>
    <row r="26" spans="1:16" ht="15.6" x14ac:dyDescent="0.3">
      <c r="A26" s="3"/>
      <c r="B26" s="8" t="s">
        <v>44</v>
      </c>
      <c r="C26" s="8">
        <v>3040</v>
      </c>
      <c r="D26" s="8"/>
      <c r="E26" s="8"/>
      <c r="F26" s="8"/>
      <c r="G26" s="35"/>
      <c r="H26" s="8"/>
      <c r="I26" s="16"/>
      <c r="J26" s="35">
        <f>F26*G26+H26*I26</f>
        <v>0</v>
      </c>
      <c r="K26" s="16" t="e">
        <f>E26/(J26)</f>
        <v>#DIV/0!</v>
      </c>
      <c r="L26" s="3"/>
      <c r="M26" s="26">
        <f>E26+'5-23-22'!M26</f>
        <v>0</v>
      </c>
      <c r="N26" s="27">
        <f>M26/C26</f>
        <v>0</v>
      </c>
      <c r="O26" s="35">
        <f>J26+'5-23-22'!O26</f>
        <v>0</v>
      </c>
      <c r="P26" s="26" t="e">
        <f>M26/O26</f>
        <v>#DIV/0!</v>
      </c>
    </row>
    <row r="27" spans="1:16" ht="15.6" x14ac:dyDescent="0.3">
      <c r="A27" s="3"/>
      <c r="B27" s="3"/>
      <c r="C27" s="3"/>
      <c r="D27" s="3"/>
      <c r="E27" s="3"/>
      <c r="F27" s="3"/>
      <c r="G27" s="36"/>
      <c r="H27" s="3"/>
      <c r="I27" s="4"/>
      <c r="J27" s="36"/>
      <c r="K27" s="4"/>
      <c r="L27" s="3"/>
      <c r="M27" s="29"/>
      <c r="N27" s="3"/>
      <c r="O27" s="3"/>
      <c r="P27" s="3"/>
    </row>
    <row r="28" spans="1:16" ht="15.6" x14ac:dyDescent="0.3">
      <c r="A28" s="3"/>
      <c r="B28" s="8" t="s">
        <v>45</v>
      </c>
      <c r="C28" s="8">
        <v>3040</v>
      </c>
      <c r="D28" s="8"/>
      <c r="E28" s="8"/>
      <c r="F28" s="8"/>
      <c r="G28" s="35"/>
      <c r="H28" s="8"/>
      <c r="I28" s="16"/>
      <c r="J28" s="35">
        <f>F28*G28+H28*I28</f>
        <v>0</v>
      </c>
      <c r="K28" s="16" t="e">
        <f>E28/(J28)</f>
        <v>#DIV/0!</v>
      </c>
      <c r="L28" s="3"/>
      <c r="M28" s="26">
        <f>E28+'5-23-22'!M28</f>
        <v>0</v>
      </c>
      <c r="N28" s="27">
        <f>M28/C28</f>
        <v>0</v>
      </c>
      <c r="O28" s="35">
        <f>J28+'5-23-22'!O28</f>
        <v>0</v>
      </c>
      <c r="P28" s="26" t="e">
        <f>M28/O28</f>
        <v>#DIV/0!</v>
      </c>
    </row>
    <row r="29" spans="1:16" ht="15.6" x14ac:dyDescent="0.3">
      <c r="A29" s="3"/>
      <c r="B29" s="3"/>
      <c r="C29" s="3"/>
      <c r="D29" s="3"/>
      <c r="E29" s="3"/>
      <c r="F29" s="3"/>
      <c r="G29" s="36"/>
      <c r="H29" s="3"/>
      <c r="I29" s="4"/>
      <c r="J29" s="36"/>
      <c r="K29" s="4"/>
      <c r="L29" s="3"/>
      <c r="M29" s="29"/>
      <c r="N29" s="3"/>
      <c r="O29" s="3"/>
      <c r="P29" s="3"/>
    </row>
    <row r="30" spans="1:16" ht="15.6" x14ac:dyDescent="0.3">
      <c r="A30" s="3"/>
      <c r="B30" s="8" t="s">
        <v>47</v>
      </c>
      <c r="C30" s="8">
        <v>125400</v>
      </c>
      <c r="D30" s="8"/>
      <c r="E30" s="8"/>
      <c r="F30" s="8"/>
      <c r="G30" s="35"/>
      <c r="H30" s="8"/>
      <c r="I30" s="16"/>
      <c r="J30" s="35">
        <f>F30*G30+H30*I30</f>
        <v>0</v>
      </c>
      <c r="K30" s="16" t="e">
        <f>E30/(J30)</f>
        <v>#DIV/0!</v>
      </c>
      <c r="L30" s="3"/>
      <c r="M30" s="26">
        <f>E30+'5-23-22'!M30</f>
        <v>0</v>
      </c>
      <c r="N30" s="27">
        <f>M30/C30</f>
        <v>0</v>
      </c>
      <c r="O30" s="35">
        <f>J30+'5-23-22'!O30</f>
        <v>0</v>
      </c>
      <c r="P30" s="26" t="e">
        <f>M30/O30</f>
        <v>#DIV/0!</v>
      </c>
    </row>
    <row r="31" spans="1:16" ht="15.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7"/>
      <c r="O31" s="3"/>
      <c r="P31" s="3"/>
    </row>
    <row r="32" spans="1:16" ht="15.6" x14ac:dyDescent="0.3">
      <c r="A32" s="3"/>
      <c r="B32" s="8" t="s">
        <v>46</v>
      </c>
      <c r="C32" s="8">
        <v>324</v>
      </c>
      <c r="D32" s="8"/>
      <c r="E32" s="8"/>
      <c r="F32" s="8"/>
      <c r="G32" s="35"/>
      <c r="H32" s="8"/>
      <c r="I32" s="16"/>
      <c r="J32" s="35">
        <f>F32*G32+H32*I32</f>
        <v>0</v>
      </c>
      <c r="K32" s="16" t="e">
        <f>E32/(J32)</f>
        <v>#DIV/0!</v>
      </c>
      <c r="L32" s="3"/>
      <c r="M32" s="26">
        <f>E32+'5-23-22'!M32</f>
        <v>0</v>
      </c>
      <c r="N32" s="27">
        <f>M32/C32</f>
        <v>0</v>
      </c>
      <c r="O32" s="35">
        <f>J32+'5-23-22'!O32</f>
        <v>0</v>
      </c>
      <c r="P32" s="26" t="e">
        <f>M32/O32</f>
        <v>#DIV/0!</v>
      </c>
    </row>
    <row r="33" spans="1:16" ht="15.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7"/>
      <c r="O33" s="3"/>
      <c r="P33" s="3"/>
    </row>
    <row r="34" spans="1:16" ht="15.6" x14ac:dyDescent="0.3">
      <c r="A34" s="3"/>
      <c r="B34" s="8" t="s">
        <v>48</v>
      </c>
      <c r="C34" s="8">
        <v>115000</v>
      </c>
      <c r="D34" s="8"/>
      <c r="E34" s="8"/>
      <c r="F34" s="8"/>
      <c r="G34" s="35"/>
      <c r="H34" s="8"/>
      <c r="I34" s="16"/>
      <c r="J34" s="35">
        <f>F34*G34+H34*I34</f>
        <v>0</v>
      </c>
      <c r="K34" s="16" t="e">
        <f>E34/(J34)</f>
        <v>#DIV/0!</v>
      </c>
      <c r="L34" s="3"/>
      <c r="M34" s="26">
        <f>E34+'5-23-22'!M34</f>
        <v>0</v>
      </c>
      <c r="N34" s="27">
        <f>M34/C34</f>
        <v>0</v>
      </c>
      <c r="O34" s="35">
        <f>J34+'5-23-22'!O34</f>
        <v>0</v>
      </c>
      <c r="P34" s="26" t="e">
        <f>M34/O34</f>
        <v>#DIV/0!</v>
      </c>
    </row>
    <row r="35" spans="1:16" ht="15.6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27"/>
      <c r="O35" s="3"/>
      <c r="P35" s="3"/>
    </row>
    <row r="36" spans="1:16" ht="15.6" x14ac:dyDescent="0.3">
      <c r="A36" s="3"/>
      <c r="B36" s="8" t="s">
        <v>49</v>
      </c>
      <c r="C36" s="8">
        <v>8</v>
      </c>
      <c r="D36" s="8"/>
      <c r="E36" s="8"/>
      <c r="F36" s="8"/>
      <c r="G36" s="35"/>
      <c r="H36" s="8"/>
      <c r="I36" s="16"/>
      <c r="J36" s="35">
        <f>F36*G36+H36*I36</f>
        <v>0</v>
      </c>
      <c r="K36" s="16" t="e">
        <f>E36/(J36)</f>
        <v>#DIV/0!</v>
      </c>
      <c r="L36" s="3"/>
      <c r="M36" s="26">
        <f>E36+'5-23-22'!M36</f>
        <v>0</v>
      </c>
      <c r="N36" s="27">
        <f>M36/C36</f>
        <v>0</v>
      </c>
      <c r="O36" s="35">
        <f>J36+'5-23-22'!O36</f>
        <v>0</v>
      </c>
      <c r="P36" s="26" t="e">
        <f>M36/O36</f>
        <v>#DIV/0!</v>
      </c>
    </row>
    <row r="37" spans="1:16" ht="15.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27"/>
      <c r="O37" s="3"/>
      <c r="P37" s="3"/>
    </row>
    <row r="38" spans="1:16" ht="15.6" x14ac:dyDescent="0.3">
      <c r="A38" s="3"/>
      <c r="B38" s="8" t="s">
        <v>50</v>
      </c>
      <c r="C38" s="8">
        <f>2760+480</f>
        <v>3240</v>
      </c>
      <c r="D38" s="8"/>
      <c r="E38" s="8"/>
      <c r="F38" s="8"/>
      <c r="G38" s="35"/>
      <c r="H38" s="8"/>
      <c r="I38" s="16"/>
      <c r="J38" s="35">
        <f>F38*G38+H38*I38</f>
        <v>0</v>
      </c>
      <c r="K38" s="16" t="e">
        <f>E38/(J38)</f>
        <v>#DIV/0!</v>
      </c>
      <c r="L38" s="3"/>
      <c r="M38" s="26">
        <f>E38+'5-23-22'!M38</f>
        <v>0</v>
      </c>
      <c r="N38" s="27">
        <f>M38/C38</f>
        <v>0</v>
      </c>
      <c r="O38" s="35">
        <f>J38+'5-23-22'!O38</f>
        <v>0</v>
      </c>
      <c r="P38" s="26" t="e">
        <f>M38/O38</f>
        <v>#DIV/0!</v>
      </c>
    </row>
    <row r="39" spans="1:16" ht="15.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7"/>
      <c r="O39" s="3"/>
      <c r="P39" s="3"/>
    </row>
    <row r="40" spans="1:16" ht="15.6" x14ac:dyDescent="0.3">
      <c r="A40" s="3"/>
      <c r="B40" s="8" t="s">
        <v>51</v>
      </c>
      <c r="C40" s="8">
        <v>25</v>
      </c>
      <c r="D40" s="8"/>
      <c r="E40" s="8"/>
      <c r="F40" s="8"/>
      <c r="G40" s="35"/>
      <c r="H40" s="8"/>
      <c r="I40" s="16"/>
      <c r="J40" s="35">
        <f>F40*G40+H40*I40</f>
        <v>0</v>
      </c>
      <c r="K40" s="16" t="e">
        <f>E40/(J40)</f>
        <v>#DIV/0!</v>
      </c>
      <c r="L40" s="3"/>
      <c r="M40" s="26">
        <f>E40+'5-23-22'!M40</f>
        <v>0</v>
      </c>
      <c r="N40" s="27">
        <f>M40/C40</f>
        <v>0</v>
      </c>
      <c r="O40" s="35">
        <f>J40+'5-23-22'!O40</f>
        <v>0</v>
      </c>
      <c r="P40" s="26" t="e">
        <f>M40/O40</f>
        <v>#DIV/0!</v>
      </c>
    </row>
    <row r="41" spans="1:16" ht="15.6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27"/>
      <c r="O41" s="3"/>
      <c r="P41" s="3"/>
    </row>
    <row r="42" spans="1:16" ht="15.6" x14ac:dyDescent="0.3">
      <c r="A42" s="3"/>
      <c r="B42" s="8" t="s">
        <v>75</v>
      </c>
      <c r="C42" s="8"/>
      <c r="D42" s="8"/>
      <c r="E42" s="8"/>
      <c r="F42" s="8"/>
      <c r="G42" s="35"/>
      <c r="H42" s="8"/>
      <c r="I42" s="16"/>
      <c r="J42" s="35">
        <f>F42*G42+H42*I42</f>
        <v>0</v>
      </c>
      <c r="K42" s="16" t="e">
        <f>E42/(J42)</f>
        <v>#DIV/0!</v>
      </c>
      <c r="L42" s="3"/>
      <c r="M42" s="26">
        <f>E42+'5-23-22'!M42</f>
        <v>0</v>
      </c>
      <c r="N42" s="27" t="e">
        <f>M42/C42</f>
        <v>#DIV/0!</v>
      </c>
      <c r="O42" s="35">
        <f>J42+'5-23-22'!O42</f>
        <v>123.75</v>
      </c>
      <c r="P42" s="26">
        <f>M42/O42</f>
        <v>0</v>
      </c>
    </row>
    <row r="43" spans="1:16" ht="15.6" x14ac:dyDescent="0.3">
      <c r="A43" s="3"/>
      <c r="B43" s="3" t="s">
        <v>27</v>
      </c>
      <c r="C43" s="3"/>
      <c r="D43" s="3"/>
      <c r="E43" s="3"/>
      <c r="F43" s="3"/>
      <c r="G43" s="3"/>
      <c r="H43" s="30"/>
      <c r="I43" s="4"/>
      <c r="J43" s="3">
        <f>J20+J22+J24+J26+J28+J30+J32+J34+J36+J38+J40+J42</f>
        <v>76.5</v>
      </c>
      <c r="K43" s="3"/>
      <c r="L43" s="3"/>
      <c r="M43" s="3"/>
      <c r="N43" s="3"/>
      <c r="O43" s="3">
        <f>O20+O22+O24+O26+O28+O30+O32+O34+O36+O38+O40+O42</f>
        <v>603</v>
      </c>
      <c r="P43" s="3"/>
    </row>
    <row r="44" spans="1:16" ht="15.6" x14ac:dyDescent="0.3">
      <c r="A44" s="3"/>
      <c r="B44" s="3"/>
      <c r="C44" s="3"/>
      <c r="D44" s="3"/>
      <c r="E44" s="3"/>
      <c r="F44" s="3"/>
      <c r="G44" s="3"/>
      <c r="H44" s="3"/>
      <c r="I44" s="4"/>
      <c r="J44" s="3"/>
      <c r="K44" s="3"/>
      <c r="L44" s="3"/>
      <c r="M44" s="3"/>
      <c r="N44" s="3"/>
      <c r="O44" s="3"/>
      <c r="P44" s="3"/>
    </row>
    <row r="45" spans="1:16" ht="15.6" x14ac:dyDescent="0.3">
      <c r="A45" s="3"/>
      <c r="B45" s="3" t="s">
        <v>28</v>
      </c>
      <c r="C45" s="3" t="s">
        <v>76</v>
      </c>
      <c r="D45" s="3"/>
      <c r="E45" s="3"/>
      <c r="F45" s="3"/>
      <c r="G45" s="3"/>
      <c r="H45" s="3"/>
      <c r="I45" s="4"/>
      <c r="J45" s="3"/>
      <c r="K45" s="3"/>
      <c r="L45" s="3"/>
      <c r="M45" s="3"/>
      <c r="N45" s="3"/>
      <c r="O45" s="3"/>
      <c r="P45" s="3"/>
    </row>
    <row r="46" spans="1:16" ht="15.6" x14ac:dyDescent="0.3">
      <c r="C46" s="33"/>
    </row>
    <row r="47" spans="1:16" ht="15.6" x14ac:dyDescent="0.3">
      <c r="B47" s="3" t="s">
        <v>32</v>
      </c>
      <c r="C47" s="33" t="s">
        <v>77</v>
      </c>
    </row>
    <row r="48" spans="1:16" ht="15.6" x14ac:dyDescent="0.3">
      <c r="C48" s="33"/>
    </row>
    <row r="49" spans="2:3" ht="15.6" x14ac:dyDescent="0.3">
      <c r="B49" s="3" t="s">
        <v>33</v>
      </c>
      <c r="C49" s="3" t="s">
        <v>78</v>
      </c>
    </row>
  </sheetData>
  <mergeCells count="2">
    <mergeCell ref="A1:G1"/>
    <mergeCell ref="H7:I7"/>
  </mergeCells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74184-FDC0-4DB8-9517-BA9BA14EA28D}">
  <dimension ref="A1:P49"/>
  <sheetViews>
    <sheetView zoomScale="85" zoomScaleNormal="85" workbookViewId="0">
      <selection activeCell="O42" sqref="O42"/>
    </sheetView>
  </sheetViews>
  <sheetFormatPr defaultRowHeight="14.4" x14ac:dyDescent="0.3"/>
  <cols>
    <col min="1" max="1" width="11.33203125" customWidth="1"/>
    <col min="2" max="2" width="29.33203125" customWidth="1"/>
    <col min="3" max="3" width="22.109375" customWidth="1"/>
    <col min="4" max="4" width="14.88671875" customWidth="1"/>
    <col min="5" max="5" width="16.6640625" customWidth="1"/>
    <col min="6" max="6" width="17.44140625" customWidth="1"/>
    <col min="8" max="8" width="20.44140625" customWidth="1"/>
    <col min="13" max="13" width="10.6640625" customWidth="1"/>
    <col min="15" max="15" width="10.6640625" customWidth="1"/>
  </cols>
  <sheetData>
    <row r="1" spans="1:16" ht="18" x14ac:dyDescent="0.35">
      <c r="A1" s="66" t="s">
        <v>0</v>
      </c>
      <c r="B1" s="66"/>
      <c r="C1" s="66"/>
      <c r="D1" s="66"/>
      <c r="E1" s="66"/>
      <c r="F1" s="66"/>
      <c r="G1" s="66"/>
      <c r="H1" s="1"/>
      <c r="I1" s="2"/>
      <c r="J1" s="1"/>
      <c r="K1" s="1"/>
      <c r="L1" s="1"/>
      <c r="M1" s="1"/>
      <c r="N1" s="1"/>
      <c r="O1" s="1"/>
      <c r="P1" s="1"/>
    </row>
    <row r="2" spans="1:16" ht="15.6" x14ac:dyDescent="0.3">
      <c r="A2" s="3"/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</row>
    <row r="3" spans="1:16" ht="15.6" x14ac:dyDescent="0.3">
      <c r="A3" s="3"/>
      <c r="B3" s="5" t="s">
        <v>1</v>
      </c>
      <c r="C3" s="6" t="s">
        <v>43</v>
      </c>
      <c r="D3" s="7"/>
      <c r="E3" s="3"/>
      <c r="F3" s="5" t="s">
        <v>2</v>
      </c>
      <c r="G3" s="8">
        <v>4355</v>
      </c>
      <c r="H3" s="5" t="s">
        <v>41</v>
      </c>
      <c r="I3" s="36">
        <v>49</v>
      </c>
      <c r="J3" s="3"/>
      <c r="K3" s="3"/>
      <c r="L3" s="3"/>
      <c r="M3" s="3"/>
      <c r="N3" s="3"/>
      <c r="O3" s="3"/>
      <c r="P3" s="3"/>
    </row>
    <row r="4" spans="1:16" ht="15.6" x14ac:dyDescent="0.3">
      <c r="A4" s="3"/>
      <c r="B4" s="5" t="s">
        <v>3</v>
      </c>
      <c r="C4" s="37">
        <v>300155</v>
      </c>
      <c r="D4" s="7"/>
      <c r="E4" s="3"/>
      <c r="F4" s="5" t="s">
        <v>4</v>
      </c>
      <c r="G4" s="8">
        <f>J16+'5-22-22'!G4</f>
        <v>526.5</v>
      </c>
      <c r="H4" s="34" t="s">
        <v>42</v>
      </c>
      <c r="I4" s="4">
        <v>8</v>
      </c>
      <c r="J4" s="3"/>
      <c r="K4" s="3"/>
      <c r="L4" s="3"/>
      <c r="M4" s="3"/>
      <c r="N4" s="3"/>
      <c r="O4" s="3"/>
      <c r="P4" s="3"/>
    </row>
    <row r="5" spans="1:16" ht="15.6" x14ac:dyDescent="0.3">
      <c r="A5" s="3"/>
      <c r="B5" s="5" t="s">
        <v>5</v>
      </c>
      <c r="C5" s="38">
        <v>44704</v>
      </c>
      <c r="D5" s="3"/>
      <c r="E5" s="3"/>
      <c r="F5" s="3"/>
      <c r="G5" s="3"/>
      <c r="H5" s="3"/>
      <c r="I5" s="4"/>
      <c r="J5" s="3"/>
      <c r="K5" s="3"/>
      <c r="L5" s="3"/>
      <c r="M5" s="3"/>
      <c r="N5" s="3"/>
      <c r="O5" s="3"/>
      <c r="P5" s="3"/>
    </row>
    <row r="6" spans="1:16" ht="15.6" x14ac:dyDescent="0.3">
      <c r="A6" s="3"/>
      <c r="B6" s="5"/>
      <c r="C6" s="3"/>
      <c r="D6" s="3"/>
      <c r="E6" s="3"/>
      <c r="F6" s="3"/>
      <c r="G6" s="3"/>
      <c r="H6" s="3"/>
      <c r="I6" s="4"/>
      <c r="J6" s="3"/>
      <c r="K6" s="3"/>
      <c r="L6" s="3"/>
      <c r="M6" s="3"/>
      <c r="N6" s="3"/>
      <c r="O6" s="3"/>
      <c r="P6" s="3"/>
    </row>
    <row r="7" spans="1:16" ht="15.6" x14ac:dyDescent="0.3">
      <c r="A7" s="10" t="s">
        <v>6</v>
      </c>
      <c r="B7" s="11"/>
      <c r="C7" s="12" t="s">
        <v>7</v>
      </c>
      <c r="D7" s="3"/>
      <c r="E7" s="12" t="s">
        <v>8</v>
      </c>
      <c r="F7" s="12" t="s">
        <v>34</v>
      </c>
      <c r="G7" s="3"/>
      <c r="H7" s="67" t="s">
        <v>7</v>
      </c>
      <c r="I7" s="67"/>
      <c r="J7" s="12" t="s">
        <v>8</v>
      </c>
      <c r="K7" s="3"/>
      <c r="L7" s="3"/>
      <c r="M7" s="3"/>
      <c r="N7" s="3"/>
      <c r="O7" s="3"/>
      <c r="P7" s="3"/>
    </row>
    <row r="8" spans="1:16" ht="15.6" x14ac:dyDescent="0.3">
      <c r="A8" s="13">
        <v>1</v>
      </c>
      <c r="B8" s="5" t="s">
        <v>9</v>
      </c>
      <c r="C8" s="14" t="s">
        <v>35</v>
      </c>
      <c r="D8" s="15"/>
      <c r="E8" s="35">
        <v>10.25</v>
      </c>
      <c r="F8" s="16">
        <v>66</v>
      </c>
      <c r="G8" s="11">
        <v>9</v>
      </c>
      <c r="H8" s="14" t="s">
        <v>40</v>
      </c>
      <c r="I8" s="8"/>
      <c r="J8" s="39">
        <v>10.25</v>
      </c>
      <c r="K8" s="3"/>
      <c r="L8" s="3"/>
      <c r="M8" s="3"/>
      <c r="N8" s="3"/>
      <c r="O8" s="3"/>
      <c r="P8" s="3"/>
    </row>
    <row r="9" spans="1:16" ht="15.6" x14ac:dyDescent="0.3">
      <c r="A9" s="13">
        <v>2</v>
      </c>
      <c r="B9" s="5" t="s">
        <v>10</v>
      </c>
      <c r="C9" s="14" t="s">
        <v>37</v>
      </c>
      <c r="D9" s="8"/>
      <c r="E9" s="35">
        <v>10.25</v>
      </c>
      <c r="F9" s="16"/>
      <c r="G9" s="11">
        <v>10</v>
      </c>
      <c r="H9" s="14"/>
      <c r="I9" s="8"/>
      <c r="J9" s="39"/>
      <c r="K9" s="3"/>
      <c r="L9" s="3"/>
      <c r="M9" s="3"/>
      <c r="N9" s="3"/>
      <c r="O9" s="3"/>
      <c r="P9" s="3"/>
    </row>
    <row r="10" spans="1:16" ht="15.6" x14ac:dyDescent="0.3">
      <c r="A10" s="13">
        <v>3</v>
      </c>
      <c r="B10" s="5" t="s">
        <v>11</v>
      </c>
      <c r="C10" s="14" t="s">
        <v>36</v>
      </c>
      <c r="D10" s="8"/>
      <c r="E10" s="35">
        <v>10.25</v>
      </c>
      <c r="F10" s="16">
        <v>78</v>
      </c>
      <c r="G10" s="11">
        <v>11</v>
      </c>
      <c r="H10" s="3"/>
      <c r="I10" s="8"/>
      <c r="J10" s="39"/>
      <c r="K10" s="3"/>
      <c r="L10" s="3"/>
      <c r="M10" s="3"/>
      <c r="N10" s="3"/>
      <c r="O10" s="3"/>
      <c r="P10" s="3"/>
    </row>
    <row r="11" spans="1:16" ht="15.6" x14ac:dyDescent="0.3">
      <c r="A11" s="13">
        <v>4</v>
      </c>
      <c r="B11" s="5" t="s">
        <v>12</v>
      </c>
      <c r="C11" s="14" t="s">
        <v>29</v>
      </c>
      <c r="D11" s="8"/>
      <c r="E11" s="35">
        <v>10.25</v>
      </c>
      <c r="F11" s="16"/>
      <c r="G11" s="11">
        <v>12</v>
      </c>
      <c r="H11" s="3"/>
      <c r="I11" s="8"/>
      <c r="J11" s="39"/>
      <c r="K11" s="3"/>
      <c r="L11" s="3"/>
      <c r="M11" s="3"/>
      <c r="N11" s="3"/>
      <c r="O11" s="3"/>
      <c r="P11" s="3"/>
    </row>
    <row r="12" spans="1:16" ht="15.6" x14ac:dyDescent="0.3">
      <c r="A12" s="13">
        <v>5</v>
      </c>
      <c r="B12" s="3"/>
      <c r="C12" s="31" t="s">
        <v>30</v>
      </c>
      <c r="D12" s="8"/>
      <c r="E12" s="35">
        <v>10.25</v>
      </c>
      <c r="F12" s="16"/>
      <c r="G12" s="11">
        <v>13</v>
      </c>
      <c r="H12" s="3"/>
      <c r="I12" s="8"/>
      <c r="J12" s="39"/>
      <c r="K12" s="3"/>
      <c r="L12" s="3"/>
      <c r="M12" s="3"/>
      <c r="N12" s="3"/>
      <c r="O12" s="3"/>
      <c r="P12" s="3"/>
    </row>
    <row r="13" spans="1:16" ht="15.6" x14ac:dyDescent="0.3">
      <c r="A13" s="13">
        <v>6</v>
      </c>
      <c r="B13" s="3"/>
      <c r="C13" s="14" t="s">
        <v>31</v>
      </c>
      <c r="D13" s="8"/>
      <c r="E13" s="35">
        <v>10.25</v>
      </c>
      <c r="F13" s="16">
        <v>74</v>
      </c>
      <c r="G13" s="11">
        <v>14</v>
      </c>
      <c r="H13" s="18"/>
      <c r="I13" s="8"/>
      <c r="J13" s="39"/>
      <c r="K13" s="3"/>
      <c r="L13" s="3"/>
      <c r="M13" s="3"/>
      <c r="N13" s="3"/>
      <c r="O13" s="3"/>
      <c r="P13" s="3"/>
    </row>
    <row r="14" spans="1:16" ht="15.6" x14ac:dyDescent="0.3">
      <c r="A14" s="13">
        <v>7</v>
      </c>
      <c r="B14" s="5" t="s">
        <v>52</v>
      </c>
      <c r="C14" s="14" t="s">
        <v>39</v>
      </c>
      <c r="D14" s="8"/>
      <c r="E14" s="35">
        <v>10.25</v>
      </c>
      <c r="F14" s="16"/>
      <c r="G14" s="11">
        <v>15</v>
      </c>
      <c r="H14" s="3"/>
      <c r="I14" s="8"/>
      <c r="J14" s="39"/>
      <c r="K14" s="3"/>
      <c r="L14" s="3"/>
      <c r="M14" s="3"/>
      <c r="N14" s="3"/>
      <c r="O14" s="3"/>
      <c r="P14" s="3"/>
    </row>
    <row r="15" spans="1:16" ht="15.6" x14ac:dyDescent="0.3">
      <c r="A15" s="13">
        <v>8</v>
      </c>
      <c r="B15" s="3"/>
      <c r="C15" s="14" t="s">
        <v>38</v>
      </c>
      <c r="D15" s="8"/>
      <c r="E15" s="35">
        <v>10.25</v>
      </c>
      <c r="F15" s="16"/>
      <c r="G15" s="11">
        <v>16</v>
      </c>
      <c r="H15" s="3"/>
      <c r="I15" s="8"/>
      <c r="J15" s="39"/>
      <c r="K15" s="3"/>
      <c r="L15" s="3"/>
      <c r="M15" s="3"/>
      <c r="N15" s="3"/>
      <c r="O15" s="3"/>
      <c r="P15" s="3"/>
    </row>
    <row r="16" spans="1:16" ht="15.6" x14ac:dyDescent="0.3">
      <c r="A16" s="3"/>
      <c r="B16" s="3"/>
      <c r="C16" s="3"/>
      <c r="D16" s="3"/>
      <c r="E16" s="3"/>
      <c r="F16" s="3"/>
      <c r="G16" s="13"/>
      <c r="H16" s="7" t="s">
        <v>13</v>
      </c>
      <c r="I16" s="3"/>
      <c r="J16" s="8">
        <f>SUM(E8:E15)+SUM(J8:J15)</f>
        <v>92.25</v>
      </c>
      <c r="K16" s="3"/>
      <c r="L16" s="3"/>
      <c r="M16" s="3"/>
      <c r="N16" s="3"/>
      <c r="O16" s="3"/>
      <c r="P16" s="3"/>
    </row>
    <row r="17" spans="1:16" ht="15.6" x14ac:dyDescent="0.3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  <c r="L17" s="3"/>
      <c r="M17" s="3"/>
      <c r="N17" s="3"/>
      <c r="O17" s="3"/>
      <c r="P17" s="3"/>
    </row>
    <row r="18" spans="1:16" ht="93.6" x14ac:dyDescent="0.3">
      <c r="A18" s="19"/>
      <c r="B18" s="20" t="s">
        <v>14</v>
      </c>
      <c r="C18" s="21" t="s">
        <v>15</v>
      </c>
      <c r="D18" s="22" t="s">
        <v>16</v>
      </c>
      <c r="E18" s="22" t="s">
        <v>17</v>
      </c>
      <c r="F18" s="22" t="s">
        <v>18</v>
      </c>
      <c r="G18" s="22" t="s">
        <v>19</v>
      </c>
      <c r="H18" s="22" t="s">
        <v>18</v>
      </c>
      <c r="I18" s="22" t="s">
        <v>19</v>
      </c>
      <c r="J18" s="22" t="s">
        <v>20</v>
      </c>
      <c r="K18" s="23" t="s">
        <v>21</v>
      </c>
      <c r="L18" s="24"/>
      <c r="M18" s="23" t="s">
        <v>22</v>
      </c>
      <c r="N18" s="23" t="s">
        <v>23</v>
      </c>
      <c r="O18" s="23" t="s">
        <v>24</v>
      </c>
      <c r="P18" s="23" t="s">
        <v>25</v>
      </c>
    </row>
    <row r="19" spans="1:16" ht="15.6" x14ac:dyDescent="0.3">
      <c r="A19" s="19"/>
      <c r="B19" s="19"/>
      <c r="C19" s="24"/>
      <c r="D19" s="24"/>
      <c r="E19" s="24"/>
      <c r="F19" s="24"/>
      <c r="G19" s="24"/>
      <c r="H19" s="24"/>
      <c r="I19" s="24"/>
      <c r="J19" s="24"/>
      <c r="K19" s="25"/>
      <c r="L19" s="24"/>
      <c r="M19" s="3"/>
      <c r="N19" s="3"/>
      <c r="O19" s="3"/>
      <c r="P19" s="3"/>
    </row>
    <row r="20" spans="1:16" ht="15.6" x14ac:dyDescent="0.3">
      <c r="A20" s="3"/>
      <c r="B20" s="8" t="s">
        <v>26</v>
      </c>
      <c r="C20" s="8">
        <v>1</v>
      </c>
      <c r="D20" s="8">
        <v>1</v>
      </c>
      <c r="E20" s="8"/>
      <c r="F20" s="8"/>
      <c r="G20" s="35">
        <v>0</v>
      </c>
      <c r="H20" s="8"/>
      <c r="I20" s="16"/>
      <c r="J20" s="35">
        <f>F20*G20+H20*I20</f>
        <v>0</v>
      </c>
      <c r="K20" s="16" t="e">
        <f>E20/(J20)</f>
        <v>#DIV/0!</v>
      </c>
      <c r="L20" s="3"/>
      <c r="M20" s="26">
        <v>0</v>
      </c>
      <c r="N20" s="27">
        <f>M20/C20</f>
        <v>0</v>
      </c>
      <c r="O20" s="35">
        <f>J20+'5-22-22'!O20</f>
        <v>108</v>
      </c>
      <c r="P20" s="26">
        <f>M20/O20</f>
        <v>0</v>
      </c>
    </row>
    <row r="21" spans="1:16" ht="15.6" x14ac:dyDescent="0.3">
      <c r="A21" s="3"/>
      <c r="B21" s="3"/>
      <c r="C21" s="3"/>
      <c r="D21" s="3"/>
      <c r="E21" s="3"/>
      <c r="F21" s="3"/>
      <c r="G21" s="40"/>
      <c r="H21" s="3"/>
      <c r="I21" s="28"/>
      <c r="J21" s="40"/>
      <c r="K21" s="28"/>
      <c r="L21" s="3"/>
      <c r="M21" s="29"/>
      <c r="N21" s="3"/>
      <c r="O21" s="3"/>
      <c r="P21" s="3"/>
    </row>
    <row r="22" spans="1:16" ht="15.6" x14ac:dyDescent="0.3">
      <c r="A22" s="3"/>
      <c r="B22" s="8" t="s">
        <v>53</v>
      </c>
      <c r="C22" s="8">
        <v>125400</v>
      </c>
      <c r="D22" s="41"/>
      <c r="E22" s="41"/>
      <c r="F22" s="8"/>
      <c r="G22" s="35"/>
      <c r="H22" s="8"/>
      <c r="I22" s="16"/>
      <c r="J22" s="35">
        <f>F22*G22+H22*I22</f>
        <v>0</v>
      </c>
      <c r="K22" s="16" t="e">
        <f>E22/(J22)</f>
        <v>#DIV/0!</v>
      </c>
      <c r="L22" s="3"/>
      <c r="M22" s="26">
        <f>E22+'5-22-22'!M22</f>
        <v>80518</v>
      </c>
      <c r="N22" s="27">
        <f>M22/C22</f>
        <v>0.64208931419457738</v>
      </c>
      <c r="O22" s="35">
        <f>J22+'5-22-22'!O22</f>
        <v>294.75</v>
      </c>
      <c r="P22" s="26">
        <f>M22/O22</f>
        <v>273.17387616624256</v>
      </c>
    </row>
    <row r="23" spans="1:16" ht="15.6" x14ac:dyDescent="0.3">
      <c r="A23" s="3"/>
      <c r="B23" s="3"/>
      <c r="C23" s="3"/>
      <c r="D23" s="3"/>
      <c r="E23" s="3"/>
      <c r="F23" s="3"/>
      <c r="G23" s="40"/>
      <c r="H23" s="3"/>
      <c r="I23" s="28"/>
      <c r="J23" s="40"/>
      <c r="K23" s="28"/>
      <c r="L23" s="3"/>
      <c r="M23" s="29"/>
      <c r="N23" s="3"/>
      <c r="O23" s="36"/>
      <c r="P23" s="29"/>
    </row>
    <row r="24" spans="1:16" ht="15.6" x14ac:dyDescent="0.3">
      <c r="A24" s="3"/>
      <c r="B24" s="8" t="s">
        <v>54</v>
      </c>
      <c r="C24" s="8">
        <v>125400</v>
      </c>
      <c r="D24" s="8"/>
      <c r="E24" s="8"/>
      <c r="F24" s="8"/>
      <c r="G24" s="35"/>
      <c r="H24" s="8"/>
      <c r="I24" s="16"/>
      <c r="J24" s="35">
        <f>F24*G24+H24*I24</f>
        <v>0</v>
      </c>
      <c r="K24" s="16" t="e">
        <f>E24/(J24)</f>
        <v>#DIV/0!</v>
      </c>
      <c r="L24" s="3"/>
      <c r="M24" s="26">
        <f>E24+'5-22-22'!M24</f>
        <v>0</v>
      </c>
      <c r="N24" s="27">
        <f>M24/C24</f>
        <v>0</v>
      </c>
      <c r="O24" s="35">
        <f>J24+'5-22-22'!O24</f>
        <v>0</v>
      </c>
      <c r="P24" s="26" t="e">
        <f>M24/O24</f>
        <v>#DIV/0!</v>
      </c>
    </row>
    <row r="25" spans="1:16" ht="15.6" x14ac:dyDescent="0.3">
      <c r="A25" s="3"/>
      <c r="B25" s="3"/>
      <c r="C25" s="3"/>
      <c r="D25" s="3"/>
      <c r="E25" s="3"/>
      <c r="F25" s="3"/>
      <c r="G25" s="36"/>
      <c r="H25" s="3"/>
      <c r="I25" s="4"/>
      <c r="J25" s="36"/>
      <c r="K25" s="4"/>
      <c r="L25" s="3"/>
      <c r="M25" s="29"/>
      <c r="N25" s="3"/>
      <c r="O25" s="3"/>
      <c r="P25" s="3"/>
    </row>
    <row r="26" spans="1:16" ht="15.6" x14ac:dyDescent="0.3">
      <c r="A26" s="3"/>
      <c r="B26" s="8" t="s">
        <v>44</v>
      </c>
      <c r="C26" s="8">
        <v>3040</v>
      </c>
      <c r="D26" s="8"/>
      <c r="E26" s="8"/>
      <c r="F26" s="8"/>
      <c r="G26" s="35"/>
      <c r="H26" s="8"/>
      <c r="I26" s="16"/>
      <c r="J26" s="35">
        <f>F26*G26+H26*I26</f>
        <v>0</v>
      </c>
      <c r="K26" s="16" t="e">
        <f>E26/(J26)</f>
        <v>#DIV/0!</v>
      </c>
      <c r="L26" s="3"/>
      <c r="M26" s="26">
        <f>E26+'5-22-22'!M26</f>
        <v>0</v>
      </c>
      <c r="N26" s="27">
        <f>M26/C26</f>
        <v>0</v>
      </c>
      <c r="O26" s="35">
        <f>J26+'5-22-22'!O26</f>
        <v>0</v>
      </c>
      <c r="P26" s="26" t="e">
        <f>M26/O26</f>
        <v>#DIV/0!</v>
      </c>
    </row>
    <row r="27" spans="1:16" ht="15.6" x14ac:dyDescent="0.3">
      <c r="A27" s="3"/>
      <c r="B27" s="3"/>
      <c r="C27" s="3"/>
      <c r="D27" s="3"/>
      <c r="E27" s="3"/>
      <c r="F27" s="3"/>
      <c r="G27" s="36"/>
      <c r="H27" s="3"/>
      <c r="I27" s="4"/>
      <c r="J27" s="36"/>
      <c r="K27" s="4"/>
      <c r="L27" s="3"/>
      <c r="M27" s="29"/>
      <c r="N27" s="3"/>
      <c r="O27" s="3"/>
      <c r="P27" s="3"/>
    </row>
    <row r="28" spans="1:16" ht="15.6" x14ac:dyDescent="0.3">
      <c r="A28" s="3"/>
      <c r="B28" s="8" t="s">
        <v>45</v>
      </c>
      <c r="C28" s="8">
        <v>3040</v>
      </c>
      <c r="D28" s="8"/>
      <c r="E28" s="8"/>
      <c r="F28" s="8"/>
      <c r="G28" s="35"/>
      <c r="H28" s="8"/>
      <c r="I28" s="16"/>
      <c r="J28" s="35">
        <f>F28*G28+H28*I28</f>
        <v>0</v>
      </c>
      <c r="K28" s="16" t="e">
        <f>E28/(J28)</f>
        <v>#DIV/0!</v>
      </c>
      <c r="L28" s="3"/>
      <c r="M28" s="26">
        <f>E28+'5-22-22'!M28</f>
        <v>0</v>
      </c>
      <c r="N28" s="27">
        <f>M28/C28</f>
        <v>0</v>
      </c>
      <c r="O28" s="35">
        <f>J28+'5-22-22'!O28</f>
        <v>0</v>
      </c>
      <c r="P28" s="26" t="e">
        <f>M28/O28</f>
        <v>#DIV/0!</v>
      </c>
    </row>
    <row r="29" spans="1:16" ht="15.6" x14ac:dyDescent="0.3">
      <c r="A29" s="3"/>
      <c r="B29" s="3"/>
      <c r="C29" s="3"/>
      <c r="D29" s="3"/>
      <c r="E29" s="3"/>
      <c r="F29" s="3"/>
      <c r="G29" s="36"/>
      <c r="H29" s="3"/>
      <c r="I29" s="4"/>
      <c r="J29" s="36"/>
      <c r="K29" s="4"/>
      <c r="L29" s="3"/>
      <c r="M29" s="29"/>
      <c r="N29" s="3"/>
      <c r="O29" s="3"/>
      <c r="P29" s="3"/>
    </row>
    <row r="30" spans="1:16" ht="15.6" x14ac:dyDescent="0.3">
      <c r="A30" s="3"/>
      <c r="B30" s="8" t="s">
        <v>47</v>
      </c>
      <c r="C30" s="8">
        <v>125400</v>
      </c>
      <c r="D30" s="8"/>
      <c r="E30" s="8"/>
      <c r="F30" s="8"/>
      <c r="G30" s="35"/>
      <c r="H30" s="8"/>
      <c r="I30" s="16"/>
      <c r="J30" s="35">
        <f>F30*G30+H30*I30</f>
        <v>0</v>
      </c>
      <c r="K30" s="16" t="e">
        <f>E30/(J30)</f>
        <v>#DIV/0!</v>
      </c>
      <c r="L30" s="3"/>
      <c r="M30" s="26">
        <f>E30+'5-22-22'!M30</f>
        <v>0</v>
      </c>
      <c r="N30" s="27">
        <f>M30/C30</f>
        <v>0</v>
      </c>
      <c r="O30" s="35">
        <f>J30+'5-22-22'!O30</f>
        <v>0</v>
      </c>
      <c r="P30" s="26" t="e">
        <f>M30/O30</f>
        <v>#DIV/0!</v>
      </c>
    </row>
    <row r="31" spans="1:16" ht="15.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7"/>
      <c r="O31" s="3"/>
      <c r="P31" s="3"/>
    </row>
    <row r="32" spans="1:16" ht="15.6" x14ac:dyDescent="0.3">
      <c r="A32" s="3"/>
      <c r="B32" s="8" t="s">
        <v>46</v>
      </c>
      <c r="C32" s="8">
        <v>324</v>
      </c>
      <c r="D32" s="8"/>
      <c r="E32" s="8"/>
      <c r="F32" s="8"/>
      <c r="G32" s="35"/>
      <c r="H32" s="8"/>
      <c r="I32" s="16"/>
      <c r="J32" s="35">
        <f>F32*G32+H32*I32</f>
        <v>0</v>
      </c>
      <c r="K32" s="16" t="e">
        <f>E32/(J32)</f>
        <v>#DIV/0!</v>
      </c>
      <c r="L32" s="3"/>
      <c r="M32" s="26">
        <f>E32+'5-22-22'!M32</f>
        <v>0</v>
      </c>
      <c r="N32" s="27">
        <f>M32/C32</f>
        <v>0</v>
      </c>
      <c r="O32" s="35">
        <f>J32+'5-22-22'!O32</f>
        <v>0</v>
      </c>
      <c r="P32" s="26" t="e">
        <f>M32/O32</f>
        <v>#DIV/0!</v>
      </c>
    </row>
    <row r="33" spans="1:16" ht="15.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7"/>
      <c r="O33" s="3"/>
      <c r="P33" s="3"/>
    </row>
    <row r="34" spans="1:16" ht="15.6" x14ac:dyDescent="0.3">
      <c r="A34" s="3"/>
      <c r="B34" s="8" t="s">
        <v>48</v>
      </c>
      <c r="C34" s="8">
        <v>115000</v>
      </c>
      <c r="D34" s="8"/>
      <c r="E34" s="8"/>
      <c r="F34" s="8"/>
      <c r="G34" s="35"/>
      <c r="H34" s="8"/>
      <c r="I34" s="16"/>
      <c r="J34" s="35">
        <f>F34*G34+H34*I34</f>
        <v>0</v>
      </c>
      <c r="K34" s="16" t="e">
        <f>E34/(J34)</f>
        <v>#DIV/0!</v>
      </c>
      <c r="L34" s="3"/>
      <c r="M34" s="26">
        <f>E34+'5-22-22'!M34</f>
        <v>0</v>
      </c>
      <c r="N34" s="27">
        <f>M34/C34</f>
        <v>0</v>
      </c>
      <c r="O34" s="35">
        <f>J34+'5-22-22'!O34</f>
        <v>0</v>
      </c>
      <c r="P34" s="26" t="e">
        <f>M34/O34</f>
        <v>#DIV/0!</v>
      </c>
    </row>
    <row r="35" spans="1:16" ht="15.6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27"/>
      <c r="O35" s="3"/>
      <c r="P35" s="3"/>
    </row>
    <row r="36" spans="1:16" ht="15.6" x14ac:dyDescent="0.3">
      <c r="A36" s="3"/>
      <c r="B36" s="8" t="s">
        <v>49</v>
      </c>
      <c r="C36" s="8">
        <v>8</v>
      </c>
      <c r="D36" s="8"/>
      <c r="E36" s="8"/>
      <c r="F36" s="8"/>
      <c r="G36" s="35"/>
      <c r="H36" s="8"/>
      <c r="I36" s="16"/>
      <c r="J36" s="35">
        <f>F36*G36+H36*I36</f>
        <v>0</v>
      </c>
      <c r="K36" s="16" t="e">
        <f>E36/(J36)</f>
        <v>#DIV/0!</v>
      </c>
      <c r="L36" s="3"/>
      <c r="M36" s="26">
        <f>E36+'5-22-22'!M36</f>
        <v>0</v>
      </c>
      <c r="N36" s="27">
        <f>M36/C36</f>
        <v>0</v>
      </c>
      <c r="O36" s="35">
        <f>J36+'5-22-22'!O36</f>
        <v>0</v>
      </c>
      <c r="P36" s="26" t="e">
        <f>M36/O36</f>
        <v>#DIV/0!</v>
      </c>
    </row>
    <row r="37" spans="1:16" ht="15.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27"/>
      <c r="O37" s="3"/>
      <c r="P37" s="3"/>
    </row>
    <row r="38" spans="1:16" ht="15.6" x14ac:dyDescent="0.3">
      <c r="A38" s="3"/>
      <c r="B38" s="8" t="s">
        <v>50</v>
      </c>
      <c r="C38" s="8">
        <f>2760+480</f>
        <v>3240</v>
      </c>
      <c r="D38" s="8"/>
      <c r="E38" s="8"/>
      <c r="F38" s="8"/>
      <c r="G38" s="35"/>
      <c r="H38" s="8"/>
      <c r="I38" s="16"/>
      <c r="J38" s="35">
        <f>F38*G38+H38*I38</f>
        <v>0</v>
      </c>
      <c r="K38" s="16" t="e">
        <f>E38/(J38)</f>
        <v>#DIV/0!</v>
      </c>
      <c r="L38" s="3"/>
      <c r="M38" s="26">
        <f>E38+'5-22-22'!M38</f>
        <v>0</v>
      </c>
      <c r="N38" s="27">
        <f>M38/C38</f>
        <v>0</v>
      </c>
      <c r="O38" s="35">
        <f>J38+'5-22-22'!O38</f>
        <v>0</v>
      </c>
      <c r="P38" s="26" t="e">
        <f>M38/O38</f>
        <v>#DIV/0!</v>
      </c>
    </row>
    <row r="39" spans="1:16" ht="15.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7"/>
      <c r="O39" s="3"/>
      <c r="P39" s="3"/>
    </row>
    <row r="40" spans="1:16" ht="15.6" x14ac:dyDescent="0.3">
      <c r="A40" s="3"/>
      <c r="B40" s="8" t="s">
        <v>51</v>
      </c>
      <c r="C40" s="8">
        <v>25</v>
      </c>
      <c r="D40" s="8"/>
      <c r="E40" s="8"/>
      <c r="F40" s="8"/>
      <c r="G40" s="35"/>
      <c r="H40" s="8"/>
      <c r="I40" s="16"/>
      <c r="J40" s="35">
        <f>F40*G40+H40*I40</f>
        <v>0</v>
      </c>
      <c r="K40" s="16" t="e">
        <f>E40/(J40)</f>
        <v>#DIV/0!</v>
      </c>
      <c r="L40" s="3"/>
      <c r="M40" s="26">
        <f>E40+'5-22-22'!M40</f>
        <v>0</v>
      </c>
      <c r="N40" s="27">
        <f>M40/C40</f>
        <v>0</v>
      </c>
      <c r="O40" s="35">
        <f>J40+'5-22-22'!O40</f>
        <v>0</v>
      </c>
      <c r="P40" s="26" t="e">
        <f>M40/O40</f>
        <v>#DIV/0!</v>
      </c>
    </row>
    <row r="41" spans="1:16" ht="15.6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27"/>
      <c r="O41" s="3"/>
      <c r="P41" s="3"/>
    </row>
    <row r="42" spans="1:16" ht="15.6" x14ac:dyDescent="0.3">
      <c r="A42" s="3"/>
      <c r="B42" s="8" t="s">
        <v>75</v>
      </c>
      <c r="C42" s="8"/>
      <c r="D42" s="8"/>
      <c r="E42" s="8"/>
      <c r="F42" s="8">
        <v>9</v>
      </c>
      <c r="G42" s="35">
        <v>10.25</v>
      </c>
      <c r="H42" s="8"/>
      <c r="I42" s="16"/>
      <c r="J42" s="35">
        <f>F42*G42+H42*I42</f>
        <v>92.25</v>
      </c>
      <c r="K42" s="16">
        <f>E42/(J42)</f>
        <v>0</v>
      </c>
      <c r="L42" s="3"/>
      <c r="M42" s="26">
        <f>E42+'5-22-22'!M42</f>
        <v>0</v>
      </c>
      <c r="N42" s="27" t="e">
        <f>M42/C42</f>
        <v>#DIV/0!</v>
      </c>
      <c r="O42" s="35">
        <f>J42+'5-22-22'!O42</f>
        <v>123.75</v>
      </c>
      <c r="P42" s="26">
        <f>M42/O42</f>
        <v>0</v>
      </c>
    </row>
    <row r="43" spans="1:16" ht="15.6" x14ac:dyDescent="0.3">
      <c r="A43" s="3"/>
      <c r="B43" s="3" t="s">
        <v>27</v>
      </c>
      <c r="C43" s="3"/>
      <c r="D43" s="3"/>
      <c r="E43" s="3"/>
      <c r="F43" s="3"/>
      <c r="G43" s="3"/>
      <c r="H43" s="30"/>
      <c r="I43" s="4"/>
      <c r="J43" s="3">
        <f>J20+J22+J24+J26+J28+J30+J32+J34+J36+J38+J40+J42</f>
        <v>92.25</v>
      </c>
      <c r="K43" s="3"/>
      <c r="L43" s="3"/>
      <c r="M43" s="3"/>
      <c r="N43" s="3"/>
      <c r="O43" s="3">
        <f>O20+O22+O24+O26+O28+O30+O32+O34+O36+O38+O40+O42</f>
        <v>526.5</v>
      </c>
      <c r="P43" s="3"/>
    </row>
    <row r="44" spans="1:16" ht="15.6" x14ac:dyDescent="0.3">
      <c r="A44" s="3"/>
      <c r="B44" s="3"/>
      <c r="C44" s="3"/>
      <c r="D44" s="3"/>
      <c r="E44" s="3"/>
      <c r="F44" s="3"/>
      <c r="G44" s="3"/>
      <c r="H44" s="3"/>
      <c r="I44" s="4"/>
      <c r="J44" s="3"/>
      <c r="K44" s="3"/>
      <c r="L44" s="3"/>
      <c r="M44" s="3"/>
      <c r="N44" s="3"/>
      <c r="O44" s="3"/>
      <c r="P44" s="3"/>
    </row>
    <row r="45" spans="1:16" ht="15.6" x14ac:dyDescent="0.3">
      <c r="A45" s="3"/>
      <c r="B45" s="3" t="s">
        <v>28</v>
      </c>
      <c r="C45" s="3" t="s">
        <v>120</v>
      </c>
      <c r="D45" s="3"/>
      <c r="E45" s="3"/>
      <c r="F45" s="3"/>
      <c r="G45" s="3"/>
      <c r="H45" s="3"/>
      <c r="I45" s="4"/>
      <c r="J45" s="3"/>
      <c r="K45" s="3"/>
      <c r="L45" s="3"/>
      <c r="M45" s="3"/>
      <c r="N45" s="3"/>
      <c r="O45" s="3"/>
      <c r="P45" s="3"/>
    </row>
    <row r="46" spans="1:16" ht="15.6" x14ac:dyDescent="0.3">
      <c r="C46" s="33"/>
    </row>
    <row r="47" spans="1:16" ht="15.6" x14ac:dyDescent="0.3">
      <c r="B47" s="3" t="s">
        <v>32</v>
      </c>
      <c r="C47" s="33" t="s">
        <v>73</v>
      </c>
    </row>
    <row r="48" spans="1:16" ht="15.6" x14ac:dyDescent="0.3">
      <c r="C48" s="33"/>
    </row>
    <row r="49" spans="2:3" ht="15.6" x14ac:dyDescent="0.3">
      <c r="B49" s="3" t="s">
        <v>33</v>
      </c>
      <c r="C49" s="3" t="s">
        <v>74</v>
      </c>
    </row>
  </sheetData>
  <mergeCells count="2">
    <mergeCell ref="A1:G1"/>
    <mergeCell ref="H7:I7"/>
  </mergeCells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2AC67-2A6D-46E8-AAF0-C6D503224A72}">
  <dimension ref="A1:P49"/>
  <sheetViews>
    <sheetView topLeftCell="A22" zoomScale="85" zoomScaleNormal="85" workbookViewId="0">
      <selection activeCell="O44" sqref="O44"/>
    </sheetView>
  </sheetViews>
  <sheetFormatPr defaultRowHeight="14.4" x14ac:dyDescent="0.3"/>
  <cols>
    <col min="1" max="1" width="11.33203125" customWidth="1"/>
    <col min="2" max="2" width="29.33203125" customWidth="1"/>
    <col min="3" max="3" width="22.109375" customWidth="1"/>
    <col min="4" max="4" width="14.88671875" customWidth="1"/>
    <col min="5" max="5" width="16.6640625" customWidth="1"/>
    <col min="6" max="6" width="17.44140625" customWidth="1"/>
    <col min="8" max="8" width="20.44140625" customWidth="1"/>
    <col min="13" max="13" width="10.6640625" customWidth="1"/>
    <col min="15" max="15" width="10.6640625" customWidth="1"/>
  </cols>
  <sheetData>
    <row r="1" spans="1:16" ht="18" x14ac:dyDescent="0.35">
      <c r="A1" s="66" t="s">
        <v>0</v>
      </c>
      <c r="B1" s="66"/>
      <c r="C1" s="66"/>
      <c r="D1" s="66"/>
      <c r="E1" s="66"/>
      <c r="F1" s="66"/>
      <c r="G1" s="66"/>
      <c r="H1" s="1"/>
      <c r="I1" s="2"/>
      <c r="J1" s="1"/>
      <c r="K1" s="1"/>
      <c r="L1" s="1"/>
      <c r="M1" s="1"/>
      <c r="N1" s="1"/>
      <c r="O1" s="1"/>
      <c r="P1" s="1"/>
    </row>
    <row r="2" spans="1:16" ht="15.6" x14ac:dyDescent="0.3">
      <c r="A2" s="3"/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</row>
    <row r="3" spans="1:16" ht="15.6" x14ac:dyDescent="0.3">
      <c r="A3" s="3"/>
      <c r="B3" s="5" t="s">
        <v>1</v>
      </c>
      <c r="C3" s="6" t="s">
        <v>43</v>
      </c>
      <c r="D3" s="7"/>
      <c r="E3" s="3"/>
      <c r="F3" s="5" t="s">
        <v>2</v>
      </c>
      <c r="G3" s="8">
        <v>4355</v>
      </c>
      <c r="H3" s="5" t="s">
        <v>41</v>
      </c>
      <c r="I3" s="36">
        <v>49</v>
      </c>
      <c r="J3" s="3"/>
      <c r="K3" s="3"/>
      <c r="L3" s="3"/>
      <c r="M3" s="3"/>
      <c r="N3" s="3"/>
      <c r="O3" s="3"/>
      <c r="P3" s="3"/>
    </row>
    <row r="4" spans="1:16" ht="15.6" x14ac:dyDescent="0.3">
      <c r="A4" s="3"/>
      <c r="B4" s="5" t="s">
        <v>3</v>
      </c>
      <c r="C4" s="37">
        <v>300155</v>
      </c>
      <c r="D4" s="7"/>
      <c r="E4" s="3"/>
      <c r="F4" s="5" t="s">
        <v>4</v>
      </c>
      <c r="G4" s="8">
        <f>J16+'5-21-22'!G4</f>
        <v>434.25</v>
      </c>
      <c r="H4" s="34" t="s">
        <v>42</v>
      </c>
      <c r="I4" s="4">
        <v>7</v>
      </c>
      <c r="J4" s="3"/>
      <c r="K4" s="3"/>
      <c r="L4" s="3"/>
      <c r="M4" s="3"/>
      <c r="N4" s="3"/>
      <c r="O4" s="3"/>
      <c r="P4" s="3"/>
    </row>
    <row r="5" spans="1:16" ht="15.6" x14ac:dyDescent="0.3">
      <c r="A5" s="3"/>
      <c r="B5" s="5" t="s">
        <v>5</v>
      </c>
      <c r="C5" s="38">
        <v>44703</v>
      </c>
      <c r="D5" s="3"/>
      <c r="E5" s="3"/>
      <c r="F5" s="3"/>
      <c r="G5" s="3"/>
      <c r="H5" s="3"/>
      <c r="I5" s="4"/>
      <c r="J5" s="3"/>
      <c r="K5" s="3"/>
      <c r="L5" s="3"/>
      <c r="M5" s="3"/>
      <c r="N5" s="3"/>
      <c r="O5" s="3"/>
      <c r="P5" s="3"/>
    </row>
    <row r="6" spans="1:16" ht="15.6" x14ac:dyDescent="0.3">
      <c r="A6" s="3"/>
      <c r="B6" s="5"/>
      <c r="C6" s="3"/>
      <c r="D6" s="3"/>
      <c r="E6" s="3"/>
      <c r="F6" s="3"/>
      <c r="G6" s="3"/>
      <c r="H6" s="3"/>
      <c r="I6" s="4"/>
      <c r="J6" s="3"/>
      <c r="K6" s="3"/>
      <c r="L6" s="3"/>
      <c r="M6" s="3"/>
      <c r="N6" s="3"/>
      <c r="O6" s="3"/>
      <c r="P6" s="3"/>
    </row>
    <row r="7" spans="1:16" ht="15.6" x14ac:dyDescent="0.3">
      <c r="A7" s="10" t="s">
        <v>6</v>
      </c>
      <c r="B7" s="11"/>
      <c r="C7" s="12" t="s">
        <v>7</v>
      </c>
      <c r="D7" s="3"/>
      <c r="E7" s="12" t="s">
        <v>8</v>
      </c>
      <c r="F7" s="12" t="s">
        <v>34</v>
      </c>
      <c r="G7" s="3"/>
      <c r="H7" s="67" t="s">
        <v>7</v>
      </c>
      <c r="I7" s="67"/>
      <c r="J7" s="12" t="s">
        <v>8</v>
      </c>
      <c r="K7" s="3"/>
      <c r="L7" s="3"/>
      <c r="M7" s="3"/>
      <c r="N7" s="3"/>
      <c r="O7" s="3"/>
      <c r="P7" s="3"/>
    </row>
    <row r="8" spans="1:16" ht="15.6" x14ac:dyDescent="0.3">
      <c r="A8" s="13">
        <v>1</v>
      </c>
      <c r="B8" s="5" t="s">
        <v>9</v>
      </c>
      <c r="C8" s="14" t="s">
        <v>35</v>
      </c>
      <c r="D8" s="15"/>
      <c r="E8" s="35"/>
      <c r="F8" s="16">
        <v>66</v>
      </c>
      <c r="G8" s="11">
        <v>9</v>
      </c>
      <c r="H8" s="14" t="s">
        <v>40</v>
      </c>
      <c r="I8" s="8"/>
      <c r="J8" s="39"/>
      <c r="K8" s="3"/>
      <c r="L8" s="3"/>
      <c r="M8" s="3"/>
      <c r="N8" s="3"/>
      <c r="O8" s="3"/>
      <c r="P8" s="3"/>
    </row>
    <row r="9" spans="1:16" ht="15.6" x14ac:dyDescent="0.3">
      <c r="A9" s="13">
        <v>2</v>
      </c>
      <c r="B9" s="5" t="s">
        <v>10</v>
      </c>
      <c r="C9" s="14" t="s">
        <v>37</v>
      </c>
      <c r="D9" s="8"/>
      <c r="E9" s="35"/>
      <c r="F9" s="16"/>
      <c r="G9" s="11">
        <v>10</v>
      </c>
      <c r="H9" s="14"/>
      <c r="I9" s="8"/>
      <c r="J9" s="39"/>
      <c r="K9" s="3"/>
      <c r="L9" s="3"/>
      <c r="M9" s="3"/>
      <c r="N9" s="3"/>
      <c r="O9" s="3"/>
      <c r="P9" s="3"/>
    </row>
    <row r="10" spans="1:16" ht="15.6" x14ac:dyDescent="0.3">
      <c r="A10" s="13">
        <v>3</v>
      </c>
      <c r="B10" s="5" t="s">
        <v>11</v>
      </c>
      <c r="C10" s="14" t="s">
        <v>36</v>
      </c>
      <c r="D10" s="8"/>
      <c r="E10" s="35"/>
      <c r="F10" s="16">
        <v>78</v>
      </c>
      <c r="G10" s="11">
        <v>11</v>
      </c>
      <c r="H10" s="3"/>
      <c r="I10" s="8"/>
      <c r="J10" s="39"/>
      <c r="K10" s="3"/>
      <c r="L10" s="3"/>
      <c r="M10" s="3"/>
      <c r="N10" s="3"/>
      <c r="O10" s="3"/>
      <c r="P10" s="3"/>
    </row>
    <row r="11" spans="1:16" ht="15.6" x14ac:dyDescent="0.3">
      <c r="A11" s="13">
        <v>4</v>
      </c>
      <c r="B11" s="5" t="s">
        <v>12</v>
      </c>
      <c r="C11" s="14" t="s">
        <v>29</v>
      </c>
      <c r="D11" s="8"/>
      <c r="E11" s="35"/>
      <c r="F11" s="16"/>
      <c r="G11" s="11">
        <v>12</v>
      </c>
      <c r="H11" s="3"/>
      <c r="I11" s="8"/>
      <c r="J11" s="39"/>
      <c r="K11" s="3"/>
      <c r="L11" s="3"/>
      <c r="M11" s="3"/>
      <c r="N11" s="3"/>
      <c r="O11" s="3"/>
      <c r="P11" s="3"/>
    </row>
    <row r="12" spans="1:16" ht="15.6" x14ac:dyDescent="0.3">
      <c r="A12" s="13">
        <v>5</v>
      </c>
      <c r="B12" s="3"/>
      <c r="C12" s="31" t="s">
        <v>30</v>
      </c>
      <c r="D12" s="8"/>
      <c r="E12" s="35"/>
      <c r="F12" s="16"/>
      <c r="G12" s="11">
        <v>13</v>
      </c>
      <c r="H12" s="3"/>
      <c r="I12" s="8"/>
      <c r="J12" s="39"/>
      <c r="K12" s="3"/>
      <c r="L12" s="3"/>
      <c r="M12" s="3"/>
      <c r="N12" s="3"/>
      <c r="O12" s="3"/>
      <c r="P12" s="3"/>
    </row>
    <row r="13" spans="1:16" ht="15.6" x14ac:dyDescent="0.3">
      <c r="A13" s="13">
        <v>6</v>
      </c>
      <c r="B13" s="3"/>
      <c r="C13" s="14" t="s">
        <v>31</v>
      </c>
      <c r="D13" s="8"/>
      <c r="E13" s="35"/>
      <c r="F13" s="16">
        <v>74</v>
      </c>
      <c r="G13" s="11">
        <v>14</v>
      </c>
      <c r="H13" s="18"/>
      <c r="I13" s="8"/>
      <c r="J13" s="39"/>
      <c r="K13" s="3"/>
      <c r="L13" s="3"/>
      <c r="M13" s="3"/>
      <c r="N13" s="3"/>
      <c r="O13" s="3"/>
      <c r="P13" s="3"/>
    </row>
    <row r="14" spans="1:16" ht="15.6" x14ac:dyDescent="0.3">
      <c r="A14" s="13">
        <v>7</v>
      </c>
      <c r="B14" s="5" t="s">
        <v>52</v>
      </c>
      <c r="C14" s="14" t="s">
        <v>39</v>
      </c>
      <c r="D14" s="8"/>
      <c r="E14" s="35"/>
      <c r="F14" s="16"/>
      <c r="G14" s="11">
        <v>15</v>
      </c>
      <c r="H14" s="3"/>
      <c r="I14" s="8"/>
      <c r="J14" s="39"/>
      <c r="K14" s="3"/>
      <c r="L14" s="3"/>
      <c r="M14" s="3"/>
      <c r="N14" s="3"/>
      <c r="O14" s="3"/>
      <c r="P14" s="3"/>
    </row>
    <row r="15" spans="1:16" ht="15.6" x14ac:dyDescent="0.3">
      <c r="A15" s="13">
        <v>8</v>
      </c>
      <c r="B15" s="3"/>
      <c r="C15" s="14" t="s">
        <v>38</v>
      </c>
      <c r="D15" s="8"/>
      <c r="E15" s="35"/>
      <c r="F15" s="16"/>
      <c r="G15" s="11">
        <v>16</v>
      </c>
      <c r="H15" s="3"/>
      <c r="I15" s="8"/>
      <c r="J15" s="39"/>
      <c r="K15" s="3"/>
      <c r="L15" s="3"/>
      <c r="M15" s="3"/>
      <c r="N15" s="3"/>
      <c r="O15" s="3"/>
      <c r="P15" s="3"/>
    </row>
    <row r="16" spans="1:16" ht="15.6" x14ac:dyDescent="0.3">
      <c r="A16" s="3"/>
      <c r="B16" s="3"/>
      <c r="C16" s="3"/>
      <c r="D16" s="3"/>
      <c r="E16" s="3"/>
      <c r="F16" s="3"/>
      <c r="G16" s="13"/>
      <c r="H16" s="7" t="s">
        <v>13</v>
      </c>
      <c r="I16" s="3"/>
      <c r="J16" s="8">
        <f>SUM(E8:E15)+SUM(J8:J15)</f>
        <v>0</v>
      </c>
      <c r="K16" s="3"/>
      <c r="L16" s="3"/>
      <c r="M16" s="3"/>
      <c r="N16" s="3"/>
      <c r="O16" s="3"/>
      <c r="P16" s="3"/>
    </row>
    <row r="17" spans="1:16" ht="15.6" x14ac:dyDescent="0.3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  <c r="L17" s="3"/>
      <c r="M17" s="3"/>
      <c r="N17" s="3"/>
      <c r="O17" s="3"/>
      <c r="P17" s="3"/>
    </row>
    <row r="18" spans="1:16" ht="93.6" x14ac:dyDescent="0.3">
      <c r="A18" s="19"/>
      <c r="B18" s="20" t="s">
        <v>14</v>
      </c>
      <c r="C18" s="21" t="s">
        <v>15</v>
      </c>
      <c r="D18" s="22" t="s">
        <v>16</v>
      </c>
      <c r="E18" s="22" t="s">
        <v>17</v>
      </c>
      <c r="F18" s="22" t="s">
        <v>18</v>
      </c>
      <c r="G18" s="22" t="s">
        <v>19</v>
      </c>
      <c r="H18" s="22" t="s">
        <v>18</v>
      </c>
      <c r="I18" s="22" t="s">
        <v>19</v>
      </c>
      <c r="J18" s="22" t="s">
        <v>20</v>
      </c>
      <c r="K18" s="23" t="s">
        <v>21</v>
      </c>
      <c r="L18" s="24"/>
      <c r="M18" s="23" t="s">
        <v>22</v>
      </c>
      <c r="N18" s="23" t="s">
        <v>23</v>
      </c>
      <c r="O18" s="23" t="s">
        <v>24</v>
      </c>
      <c r="P18" s="23" t="s">
        <v>25</v>
      </c>
    </row>
    <row r="19" spans="1:16" ht="15.6" x14ac:dyDescent="0.3">
      <c r="A19" s="19"/>
      <c r="B19" s="19"/>
      <c r="C19" s="24"/>
      <c r="D19" s="24"/>
      <c r="E19" s="24"/>
      <c r="F19" s="24"/>
      <c r="G19" s="24"/>
      <c r="H19" s="24"/>
      <c r="I19" s="24"/>
      <c r="J19" s="24"/>
      <c r="K19" s="25"/>
      <c r="L19" s="24"/>
      <c r="M19" s="3"/>
      <c r="N19" s="3"/>
      <c r="O19" s="3"/>
      <c r="P19" s="3"/>
    </row>
    <row r="20" spans="1:16" ht="15.6" x14ac:dyDescent="0.3">
      <c r="A20" s="3"/>
      <c r="B20" s="8" t="s">
        <v>26</v>
      </c>
      <c r="C20" s="8">
        <v>1</v>
      </c>
      <c r="D20" s="8">
        <v>1</v>
      </c>
      <c r="E20" s="8"/>
      <c r="F20" s="8"/>
      <c r="G20" s="35">
        <v>0</v>
      </c>
      <c r="H20" s="8"/>
      <c r="I20" s="16"/>
      <c r="J20" s="35">
        <f>F20*G20+H20*I20</f>
        <v>0</v>
      </c>
      <c r="K20" s="16" t="e">
        <f>E20/(J20)</f>
        <v>#DIV/0!</v>
      </c>
      <c r="L20" s="3"/>
      <c r="M20" s="26">
        <v>0</v>
      </c>
      <c r="N20" s="27">
        <f>M20/C20</f>
        <v>0</v>
      </c>
      <c r="O20" s="35">
        <f>J20+'5-21-22'!O20</f>
        <v>108</v>
      </c>
      <c r="P20" s="26">
        <f>M20/O20</f>
        <v>0</v>
      </c>
    </row>
    <row r="21" spans="1:16" ht="15.6" x14ac:dyDescent="0.3">
      <c r="A21" s="3"/>
      <c r="B21" s="3"/>
      <c r="C21" s="3"/>
      <c r="D21" s="3"/>
      <c r="E21" s="3"/>
      <c r="F21" s="3"/>
      <c r="G21" s="40"/>
      <c r="H21" s="3"/>
      <c r="I21" s="28"/>
      <c r="J21" s="40"/>
      <c r="K21" s="28"/>
      <c r="L21" s="3"/>
      <c r="M21" s="29"/>
      <c r="N21" s="3"/>
      <c r="O21" s="3"/>
      <c r="P21" s="3"/>
    </row>
    <row r="22" spans="1:16" ht="15.6" x14ac:dyDescent="0.3">
      <c r="A22" s="3"/>
      <c r="B22" s="8" t="s">
        <v>53</v>
      </c>
      <c r="C22" s="8">
        <v>125400</v>
      </c>
      <c r="D22" s="41"/>
      <c r="E22" s="41"/>
      <c r="F22" s="8"/>
      <c r="G22" s="35"/>
      <c r="H22" s="8"/>
      <c r="I22" s="16"/>
      <c r="J22" s="35">
        <f>F22*G22+H22*I22</f>
        <v>0</v>
      </c>
      <c r="K22" s="16" t="e">
        <f>E22/(J22)</f>
        <v>#DIV/0!</v>
      </c>
      <c r="L22" s="3"/>
      <c r="M22" s="26">
        <f>E22+'5-21-22'!M22</f>
        <v>80518</v>
      </c>
      <c r="N22" s="27">
        <f>M22/C22</f>
        <v>0.64208931419457738</v>
      </c>
      <c r="O22" s="35">
        <f>J22+'5-21-22'!O22</f>
        <v>294.75</v>
      </c>
      <c r="P22" s="26">
        <f>M22/O22</f>
        <v>273.17387616624256</v>
      </c>
    </row>
    <row r="23" spans="1:16" ht="15.6" x14ac:dyDescent="0.3">
      <c r="A23" s="3"/>
      <c r="B23" s="3"/>
      <c r="C23" s="3"/>
      <c r="D23" s="3"/>
      <c r="E23" s="3"/>
      <c r="F23" s="3"/>
      <c r="G23" s="40"/>
      <c r="H23" s="3"/>
      <c r="I23" s="28"/>
      <c r="J23" s="40"/>
      <c r="K23" s="28"/>
      <c r="L23" s="3"/>
      <c r="M23" s="29"/>
      <c r="N23" s="3"/>
      <c r="O23" s="36"/>
      <c r="P23" s="29"/>
    </row>
    <row r="24" spans="1:16" ht="15.6" x14ac:dyDescent="0.3">
      <c r="A24" s="3"/>
      <c r="B24" s="8" t="s">
        <v>54</v>
      </c>
      <c r="C24" s="8">
        <v>125400</v>
      </c>
      <c r="D24" s="8"/>
      <c r="E24" s="8"/>
      <c r="F24" s="8"/>
      <c r="G24" s="35"/>
      <c r="H24" s="8"/>
      <c r="I24" s="16"/>
      <c r="J24" s="35">
        <f>F24*G24+H24*I24</f>
        <v>0</v>
      </c>
      <c r="K24" s="16" t="e">
        <f>E24/(J24)</f>
        <v>#DIV/0!</v>
      </c>
      <c r="L24" s="3"/>
      <c r="M24" s="26">
        <f>E24+'5-21-22'!M24</f>
        <v>0</v>
      </c>
      <c r="N24" s="27">
        <f>M24/C24</f>
        <v>0</v>
      </c>
      <c r="O24" s="35">
        <f>J24+'5-21-22'!O24</f>
        <v>0</v>
      </c>
      <c r="P24" s="26" t="e">
        <f>M24/O24</f>
        <v>#DIV/0!</v>
      </c>
    </row>
    <row r="25" spans="1:16" ht="15.6" x14ac:dyDescent="0.3">
      <c r="A25" s="3"/>
      <c r="B25" s="3"/>
      <c r="C25" s="3"/>
      <c r="D25" s="3"/>
      <c r="E25" s="3"/>
      <c r="F25" s="3"/>
      <c r="G25" s="36"/>
      <c r="H25" s="3"/>
      <c r="I25" s="4"/>
      <c r="J25" s="36"/>
      <c r="K25" s="4"/>
      <c r="L25" s="3"/>
      <c r="M25" s="29"/>
      <c r="N25" s="3"/>
      <c r="O25" s="3"/>
      <c r="P25" s="3"/>
    </row>
    <row r="26" spans="1:16" ht="15.6" x14ac:dyDescent="0.3">
      <c r="A26" s="3"/>
      <c r="B26" s="8" t="s">
        <v>44</v>
      </c>
      <c r="C26" s="8">
        <v>3040</v>
      </c>
      <c r="D26" s="8"/>
      <c r="E26" s="8"/>
      <c r="F26" s="8"/>
      <c r="G26" s="35"/>
      <c r="H26" s="8"/>
      <c r="I26" s="16"/>
      <c r="J26" s="35">
        <f>F26*G26+H26*I26</f>
        <v>0</v>
      </c>
      <c r="K26" s="16" t="e">
        <f>E26/(J26)</f>
        <v>#DIV/0!</v>
      </c>
      <c r="L26" s="3"/>
      <c r="M26" s="26">
        <f>E26+'5-21-22'!M26</f>
        <v>0</v>
      </c>
      <c r="N26" s="27">
        <f>M26/C26</f>
        <v>0</v>
      </c>
      <c r="O26" s="35">
        <f>J26+'5-21-22'!O26</f>
        <v>0</v>
      </c>
      <c r="P26" s="26" t="e">
        <f>M26/O26</f>
        <v>#DIV/0!</v>
      </c>
    </row>
    <row r="27" spans="1:16" ht="15.6" x14ac:dyDescent="0.3">
      <c r="A27" s="3"/>
      <c r="B27" s="3"/>
      <c r="C27" s="3"/>
      <c r="D27" s="3"/>
      <c r="E27" s="3"/>
      <c r="F27" s="3"/>
      <c r="G27" s="36"/>
      <c r="H27" s="3"/>
      <c r="I27" s="4"/>
      <c r="J27" s="36"/>
      <c r="K27" s="4"/>
      <c r="L27" s="3"/>
      <c r="M27" s="29"/>
      <c r="N27" s="3"/>
      <c r="O27" s="3"/>
      <c r="P27" s="3"/>
    </row>
    <row r="28" spans="1:16" ht="15.6" x14ac:dyDescent="0.3">
      <c r="A28" s="3"/>
      <c r="B28" s="8" t="s">
        <v>45</v>
      </c>
      <c r="C28" s="8">
        <v>3040</v>
      </c>
      <c r="D28" s="8"/>
      <c r="E28" s="8"/>
      <c r="F28" s="8"/>
      <c r="G28" s="35"/>
      <c r="H28" s="8"/>
      <c r="I28" s="16"/>
      <c r="J28" s="35">
        <f>F28*G28+H28*I28</f>
        <v>0</v>
      </c>
      <c r="K28" s="16" t="e">
        <f>E28/(J28)</f>
        <v>#DIV/0!</v>
      </c>
      <c r="L28" s="3"/>
      <c r="M28" s="26">
        <f>E28+'5-21-22'!M28</f>
        <v>0</v>
      </c>
      <c r="N28" s="27">
        <f>M28/C28</f>
        <v>0</v>
      </c>
      <c r="O28" s="35">
        <f>J28+'5-21-22'!O28</f>
        <v>0</v>
      </c>
      <c r="P28" s="26" t="e">
        <f>M28/O28</f>
        <v>#DIV/0!</v>
      </c>
    </row>
    <row r="29" spans="1:16" ht="15.6" x14ac:dyDescent="0.3">
      <c r="A29" s="3"/>
      <c r="B29" s="3"/>
      <c r="C29" s="3"/>
      <c r="D29" s="3"/>
      <c r="E29" s="3"/>
      <c r="F29" s="3"/>
      <c r="G29" s="36"/>
      <c r="H29" s="3"/>
      <c r="I29" s="4"/>
      <c r="J29" s="36"/>
      <c r="K29" s="4"/>
      <c r="L29" s="3"/>
      <c r="M29" s="29"/>
      <c r="N29" s="3"/>
      <c r="O29" s="3"/>
      <c r="P29" s="3"/>
    </row>
    <row r="30" spans="1:16" ht="15.6" x14ac:dyDescent="0.3">
      <c r="A30" s="3"/>
      <c r="B30" s="8" t="s">
        <v>47</v>
      </c>
      <c r="C30" s="8">
        <v>125400</v>
      </c>
      <c r="D30" s="8"/>
      <c r="E30" s="8"/>
      <c r="F30" s="8"/>
      <c r="G30" s="35"/>
      <c r="H30" s="8"/>
      <c r="I30" s="16"/>
      <c r="J30" s="35">
        <f>F30*G30+H30*I30</f>
        <v>0</v>
      </c>
      <c r="K30" s="16" t="e">
        <f>E30/(J30)</f>
        <v>#DIV/0!</v>
      </c>
      <c r="L30" s="3"/>
      <c r="M30" s="26">
        <f>E30+'5-21-22'!M30</f>
        <v>0</v>
      </c>
      <c r="N30" s="27">
        <f>M30/C30</f>
        <v>0</v>
      </c>
      <c r="O30" s="35">
        <f>J30+'5-21-22'!O30</f>
        <v>0</v>
      </c>
      <c r="P30" s="26" t="e">
        <f>M30/O30</f>
        <v>#DIV/0!</v>
      </c>
    </row>
    <row r="31" spans="1:16" ht="15.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7"/>
      <c r="O31" s="3"/>
      <c r="P31" s="3"/>
    </row>
    <row r="32" spans="1:16" ht="15.6" x14ac:dyDescent="0.3">
      <c r="A32" s="3"/>
      <c r="B32" s="8" t="s">
        <v>46</v>
      </c>
      <c r="C32" s="8">
        <v>324</v>
      </c>
      <c r="D32" s="8"/>
      <c r="E32" s="8"/>
      <c r="F32" s="8"/>
      <c r="G32" s="35"/>
      <c r="H32" s="8"/>
      <c r="I32" s="16"/>
      <c r="J32" s="35">
        <f>F32*G32+H32*I32</f>
        <v>0</v>
      </c>
      <c r="K32" s="16" t="e">
        <f>E32/(J32)</f>
        <v>#DIV/0!</v>
      </c>
      <c r="L32" s="3"/>
      <c r="M32" s="26">
        <f>E32+'5-21-22'!M32</f>
        <v>0</v>
      </c>
      <c r="N32" s="27">
        <f>M32/C32</f>
        <v>0</v>
      </c>
      <c r="O32" s="35">
        <f>J32+'5-21-22'!O32</f>
        <v>0</v>
      </c>
      <c r="P32" s="26" t="e">
        <f>M32/O32</f>
        <v>#DIV/0!</v>
      </c>
    </row>
    <row r="33" spans="1:16" ht="15.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7"/>
      <c r="O33" s="3"/>
      <c r="P33" s="3"/>
    </row>
    <row r="34" spans="1:16" ht="15.6" x14ac:dyDescent="0.3">
      <c r="A34" s="3"/>
      <c r="B34" s="8" t="s">
        <v>48</v>
      </c>
      <c r="C34" s="8">
        <v>115000</v>
      </c>
      <c r="D34" s="8"/>
      <c r="E34" s="8"/>
      <c r="F34" s="8"/>
      <c r="G34" s="35"/>
      <c r="H34" s="8"/>
      <c r="I34" s="16"/>
      <c r="J34" s="35">
        <f>F34*G34+H34*I34</f>
        <v>0</v>
      </c>
      <c r="K34" s="16" t="e">
        <f>E34/(J34)</f>
        <v>#DIV/0!</v>
      </c>
      <c r="L34" s="3"/>
      <c r="M34" s="26">
        <f>E34+'5-21-22'!M34</f>
        <v>0</v>
      </c>
      <c r="N34" s="27">
        <f>M34/C34</f>
        <v>0</v>
      </c>
      <c r="O34" s="35">
        <f>J34+'5-21-22'!O34</f>
        <v>0</v>
      </c>
      <c r="P34" s="26" t="e">
        <f>M34/O34</f>
        <v>#DIV/0!</v>
      </c>
    </row>
    <row r="35" spans="1:16" ht="15.6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27"/>
      <c r="O35" s="3"/>
      <c r="P35" s="3"/>
    </row>
    <row r="36" spans="1:16" ht="15.6" x14ac:dyDescent="0.3">
      <c r="A36" s="3"/>
      <c r="B36" s="8" t="s">
        <v>49</v>
      </c>
      <c r="C36" s="8">
        <v>8</v>
      </c>
      <c r="D36" s="8"/>
      <c r="E36" s="8"/>
      <c r="F36" s="8"/>
      <c r="G36" s="35"/>
      <c r="H36" s="8"/>
      <c r="I36" s="16"/>
      <c r="J36" s="35">
        <f>F36*G36+H36*I36</f>
        <v>0</v>
      </c>
      <c r="K36" s="16" t="e">
        <f>E36/(J36)</f>
        <v>#DIV/0!</v>
      </c>
      <c r="L36" s="3"/>
      <c r="M36" s="26">
        <f>E36+'5-21-22'!M36</f>
        <v>0</v>
      </c>
      <c r="N36" s="27">
        <f>M36/C36</f>
        <v>0</v>
      </c>
      <c r="O36" s="35">
        <f>J36+'5-21-22'!O36</f>
        <v>0</v>
      </c>
      <c r="P36" s="26" t="e">
        <f>M36/O36</f>
        <v>#DIV/0!</v>
      </c>
    </row>
    <row r="37" spans="1:16" ht="15.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27"/>
      <c r="O37" s="3"/>
      <c r="P37" s="3"/>
    </row>
    <row r="38" spans="1:16" ht="15.6" x14ac:dyDescent="0.3">
      <c r="A38" s="3"/>
      <c r="B38" s="8" t="s">
        <v>50</v>
      </c>
      <c r="C38" s="8">
        <f>2760+480</f>
        <v>3240</v>
      </c>
      <c r="D38" s="8"/>
      <c r="E38" s="8"/>
      <c r="F38" s="8"/>
      <c r="G38" s="35"/>
      <c r="H38" s="8"/>
      <c r="I38" s="16"/>
      <c r="J38" s="35">
        <f>F38*G38+H38*I38</f>
        <v>0</v>
      </c>
      <c r="K38" s="16" t="e">
        <f>E38/(J38)</f>
        <v>#DIV/0!</v>
      </c>
      <c r="L38" s="3"/>
      <c r="M38" s="26">
        <f>E38+'5-21-22'!M38</f>
        <v>0</v>
      </c>
      <c r="N38" s="27">
        <f>M38/C38</f>
        <v>0</v>
      </c>
      <c r="O38" s="35">
        <f>J38+'5-21-22'!O38</f>
        <v>0</v>
      </c>
      <c r="P38" s="26" t="e">
        <f>M38/O38</f>
        <v>#DIV/0!</v>
      </c>
    </row>
    <row r="39" spans="1:16" ht="15.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7"/>
      <c r="O39" s="3"/>
      <c r="P39" s="3"/>
    </row>
    <row r="40" spans="1:16" ht="15.6" x14ac:dyDescent="0.3">
      <c r="A40" s="3"/>
      <c r="B40" s="8" t="s">
        <v>51</v>
      </c>
      <c r="C40" s="8">
        <v>25</v>
      </c>
      <c r="D40" s="8"/>
      <c r="E40" s="8"/>
      <c r="F40" s="8"/>
      <c r="G40" s="35"/>
      <c r="H40" s="8"/>
      <c r="I40" s="16"/>
      <c r="J40" s="35">
        <f>F40*G40+H40*I40</f>
        <v>0</v>
      </c>
      <c r="K40" s="16" t="e">
        <f>E40/(J40)</f>
        <v>#DIV/0!</v>
      </c>
      <c r="L40" s="3"/>
      <c r="M40" s="26">
        <f>E40+'5-21-22'!M40</f>
        <v>0</v>
      </c>
      <c r="N40" s="27">
        <f>M40/C40</f>
        <v>0</v>
      </c>
      <c r="O40" s="35">
        <f>J40+'5-21-22'!O40</f>
        <v>0</v>
      </c>
      <c r="P40" s="26" t="e">
        <f>M40/O40</f>
        <v>#DIV/0!</v>
      </c>
    </row>
    <row r="41" spans="1:16" ht="15.6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27"/>
      <c r="O41" s="3"/>
      <c r="P41" s="3"/>
    </row>
    <row r="42" spans="1:16" ht="15.6" x14ac:dyDescent="0.3">
      <c r="A42" s="3"/>
      <c r="B42" s="8" t="s">
        <v>75</v>
      </c>
      <c r="C42" s="8"/>
      <c r="D42" s="8"/>
      <c r="E42" s="8"/>
      <c r="F42" s="8"/>
      <c r="G42" s="35"/>
      <c r="H42" s="8"/>
      <c r="I42" s="16"/>
      <c r="J42" s="35">
        <f>F42*G42+H42*I42</f>
        <v>0</v>
      </c>
      <c r="K42" s="16" t="e">
        <f>E42/(J42)</f>
        <v>#DIV/0!</v>
      </c>
      <c r="L42" s="3"/>
      <c r="M42" s="26">
        <f>E42+'5-21-22'!M42</f>
        <v>0</v>
      </c>
      <c r="N42" s="27" t="e">
        <f>M42/C42</f>
        <v>#DIV/0!</v>
      </c>
      <c r="O42" s="35">
        <f>J42+'5-21-22'!O42</f>
        <v>31.5</v>
      </c>
      <c r="P42" s="26">
        <f>M42/O42</f>
        <v>0</v>
      </c>
    </row>
    <row r="43" spans="1:16" ht="15.6" x14ac:dyDescent="0.3">
      <c r="A43" s="3"/>
      <c r="B43" s="3" t="s">
        <v>27</v>
      </c>
      <c r="C43" s="3"/>
      <c r="D43" s="3"/>
      <c r="E43" s="3"/>
      <c r="F43" s="3"/>
      <c r="G43" s="3"/>
      <c r="H43" s="30"/>
      <c r="I43" s="4"/>
      <c r="J43" s="3">
        <f>J20+J22+J24+J26+J28+J30+J32+J34+J36+J38+J40+J42</f>
        <v>0</v>
      </c>
      <c r="K43" s="3"/>
      <c r="L43" s="3"/>
      <c r="M43" s="3"/>
      <c r="N43" s="3"/>
      <c r="O43" s="3">
        <f>O20+O22+O24+O26+O28+O30+O32+O34+O36+O38+O40+O42</f>
        <v>434.25</v>
      </c>
      <c r="P43" s="3"/>
    </row>
    <row r="44" spans="1:16" ht="15.6" x14ac:dyDescent="0.3">
      <c r="A44" s="3"/>
      <c r="B44" s="3"/>
      <c r="C44" s="3"/>
      <c r="D44" s="3"/>
      <c r="E44" s="3"/>
      <c r="F44" s="3"/>
      <c r="G44" s="3"/>
      <c r="H44" s="3"/>
      <c r="I44" s="4"/>
      <c r="J44" s="3"/>
      <c r="K44" s="3"/>
      <c r="L44" s="3"/>
      <c r="M44" s="3"/>
      <c r="N44" s="3"/>
      <c r="O44" s="3"/>
      <c r="P44" s="3"/>
    </row>
    <row r="45" spans="1:16" ht="15.6" x14ac:dyDescent="0.3">
      <c r="A45" s="3"/>
      <c r="B45" s="3" t="s">
        <v>28</v>
      </c>
      <c r="C45" s="3" t="s">
        <v>70</v>
      </c>
      <c r="D45" s="3"/>
      <c r="E45" s="3"/>
      <c r="F45" s="3"/>
      <c r="G45" s="3"/>
      <c r="H45" s="3"/>
      <c r="I45" s="4"/>
      <c r="J45" s="3"/>
      <c r="K45" s="3"/>
      <c r="L45" s="3"/>
      <c r="M45" s="3"/>
      <c r="N45" s="3"/>
      <c r="O45" s="3"/>
      <c r="P45" s="3"/>
    </row>
    <row r="46" spans="1:16" ht="15.6" x14ac:dyDescent="0.3">
      <c r="C46" s="33"/>
    </row>
    <row r="47" spans="1:16" ht="15.6" x14ac:dyDescent="0.3">
      <c r="B47" s="3" t="s">
        <v>32</v>
      </c>
      <c r="C47" s="33" t="s">
        <v>71</v>
      </c>
    </row>
    <row r="48" spans="1:16" ht="15.6" x14ac:dyDescent="0.3">
      <c r="C48" s="33"/>
    </row>
    <row r="49" spans="2:3" ht="15.6" x14ac:dyDescent="0.3">
      <c r="B49" s="3" t="s">
        <v>33</v>
      </c>
      <c r="C49" s="3" t="s">
        <v>72</v>
      </c>
    </row>
  </sheetData>
  <mergeCells count="2">
    <mergeCell ref="A1:G1"/>
    <mergeCell ref="H7:I7"/>
  </mergeCells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BC10F-874E-4519-B763-126547125B06}">
  <dimension ref="A1:P49"/>
  <sheetViews>
    <sheetView topLeftCell="A22" zoomScale="85" zoomScaleNormal="85" workbookViewId="0">
      <selection activeCell="M43" sqref="M43"/>
    </sheetView>
  </sheetViews>
  <sheetFormatPr defaultRowHeight="14.4" x14ac:dyDescent="0.3"/>
  <cols>
    <col min="1" max="1" width="11.33203125" customWidth="1"/>
    <col min="2" max="2" width="29.33203125" customWidth="1"/>
    <col min="3" max="3" width="22.109375" customWidth="1"/>
    <col min="4" max="4" width="14.88671875" customWidth="1"/>
    <col min="5" max="5" width="16.6640625" customWidth="1"/>
    <col min="6" max="6" width="17.44140625" customWidth="1"/>
    <col min="8" max="8" width="20.44140625" customWidth="1"/>
    <col min="13" max="13" width="10.6640625" customWidth="1"/>
    <col min="15" max="15" width="10.6640625" customWidth="1"/>
  </cols>
  <sheetData>
    <row r="1" spans="1:16" ht="18" x14ac:dyDescent="0.35">
      <c r="A1" s="66" t="s">
        <v>0</v>
      </c>
      <c r="B1" s="66"/>
      <c r="C1" s="66"/>
      <c r="D1" s="66"/>
      <c r="E1" s="66"/>
      <c r="F1" s="66"/>
      <c r="G1" s="66"/>
      <c r="H1" s="1"/>
      <c r="I1" s="2"/>
      <c r="J1" s="1"/>
      <c r="K1" s="1"/>
      <c r="L1" s="1"/>
      <c r="M1" s="1"/>
      <c r="N1" s="1"/>
      <c r="O1" s="1"/>
      <c r="P1" s="1"/>
    </row>
    <row r="2" spans="1:16" ht="15.6" x14ac:dyDescent="0.3">
      <c r="A2" s="3"/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</row>
    <row r="3" spans="1:16" ht="15.6" x14ac:dyDescent="0.3">
      <c r="A3" s="3"/>
      <c r="B3" s="5" t="s">
        <v>1</v>
      </c>
      <c r="C3" s="6" t="s">
        <v>43</v>
      </c>
      <c r="D3" s="7"/>
      <c r="E3" s="3"/>
      <c r="F3" s="5" t="s">
        <v>2</v>
      </c>
      <c r="G3" s="8">
        <v>4355</v>
      </c>
      <c r="H3" s="5" t="s">
        <v>41</v>
      </c>
      <c r="I3" s="36">
        <v>49</v>
      </c>
      <c r="J3" s="3"/>
      <c r="K3" s="3"/>
      <c r="L3" s="3"/>
      <c r="M3" s="3"/>
      <c r="N3" s="3"/>
      <c r="O3" s="3"/>
      <c r="P3" s="3"/>
    </row>
    <row r="4" spans="1:16" ht="15.6" x14ac:dyDescent="0.3">
      <c r="A4" s="3"/>
      <c r="B4" s="5" t="s">
        <v>3</v>
      </c>
      <c r="C4" s="37">
        <v>300155</v>
      </c>
      <c r="D4" s="7"/>
      <c r="E4" s="3"/>
      <c r="F4" s="5" t="s">
        <v>4</v>
      </c>
      <c r="G4" s="8">
        <f>J16+'5-20-22'!G4</f>
        <v>434.25</v>
      </c>
      <c r="H4" s="34" t="s">
        <v>42</v>
      </c>
      <c r="I4" s="4">
        <v>6</v>
      </c>
      <c r="J4" s="3"/>
      <c r="K4" s="3"/>
      <c r="L4" s="3"/>
      <c r="M4" s="3"/>
      <c r="N4" s="3"/>
      <c r="O4" s="3"/>
      <c r="P4" s="3"/>
    </row>
    <row r="5" spans="1:16" ht="15.6" x14ac:dyDescent="0.3">
      <c r="A5" s="3"/>
      <c r="B5" s="5" t="s">
        <v>5</v>
      </c>
      <c r="C5" s="38">
        <v>44702</v>
      </c>
      <c r="D5" s="3"/>
      <c r="E5" s="3"/>
      <c r="F5" s="3"/>
      <c r="G5" s="3"/>
      <c r="H5" s="3"/>
      <c r="I5" s="4"/>
      <c r="J5" s="3"/>
      <c r="K5" s="3"/>
      <c r="L5" s="3"/>
      <c r="M5" s="3"/>
      <c r="N5" s="3"/>
      <c r="O5" s="3"/>
      <c r="P5" s="3"/>
    </row>
    <row r="6" spans="1:16" ht="15.6" x14ac:dyDescent="0.3">
      <c r="A6" s="3"/>
      <c r="B6" s="5"/>
      <c r="C6" s="3"/>
      <c r="D6" s="3"/>
      <c r="E6" s="3"/>
      <c r="F6" s="3"/>
      <c r="G6" s="3"/>
      <c r="H6" s="3"/>
      <c r="I6" s="4"/>
      <c r="J6" s="3"/>
      <c r="K6" s="3"/>
      <c r="L6" s="3"/>
      <c r="M6" s="3"/>
      <c r="N6" s="3"/>
      <c r="O6" s="3"/>
      <c r="P6" s="3"/>
    </row>
    <row r="7" spans="1:16" ht="15.6" x14ac:dyDescent="0.3">
      <c r="A7" s="10" t="s">
        <v>6</v>
      </c>
      <c r="B7" s="11"/>
      <c r="C7" s="12" t="s">
        <v>7</v>
      </c>
      <c r="D7" s="3"/>
      <c r="E7" s="12" t="s">
        <v>8</v>
      </c>
      <c r="F7" s="12" t="s">
        <v>34</v>
      </c>
      <c r="G7" s="3"/>
      <c r="H7" s="67" t="s">
        <v>7</v>
      </c>
      <c r="I7" s="67"/>
      <c r="J7" s="12" t="s">
        <v>8</v>
      </c>
      <c r="K7" s="3"/>
      <c r="L7" s="3"/>
      <c r="M7" s="3"/>
      <c r="N7" s="3"/>
      <c r="O7" s="3"/>
      <c r="P7" s="3"/>
    </row>
    <row r="8" spans="1:16" ht="15.6" x14ac:dyDescent="0.3">
      <c r="A8" s="13">
        <v>1</v>
      </c>
      <c r="B8" s="5" t="s">
        <v>9</v>
      </c>
      <c r="C8" s="14" t="s">
        <v>35</v>
      </c>
      <c r="D8" s="15"/>
      <c r="E8" s="35">
        <v>3.5</v>
      </c>
      <c r="F8" s="16">
        <v>66</v>
      </c>
      <c r="G8" s="11">
        <v>9</v>
      </c>
      <c r="H8" s="14" t="s">
        <v>40</v>
      </c>
      <c r="I8" s="8"/>
      <c r="J8" s="39">
        <v>3.5</v>
      </c>
      <c r="K8" s="3"/>
      <c r="L8" s="3"/>
      <c r="M8" s="3"/>
      <c r="N8" s="3"/>
      <c r="O8" s="3"/>
      <c r="P8" s="3"/>
    </row>
    <row r="9" spans="1:16" ht="15.6" x14ac:dyDescent="0.3">
      <c r="A9" s="13">
        <v>2</v>
      </c>
      <c r="B9" s="5" t="s">
        <v>10</v>
      </c>
      <c r="C9" s="14" t="s">
        <v>37</v>
      </c>
      <c r="D9" s="8"/>
      <c r="E9" s="35">
        <v>3.5</v>
      </c>
      <c r="F9" s="16"/>
      <c r="G9" s="11">
        <v>10</v>
      </c>
      <c r="H9" s="14"/>
      <c r="I9" s="8"/>
      <c r="J9" s="39"/>
      <c r="K9" s="3"/>
      <c r="L9" s="3"/>
      <c r="M9" s="3"/>
      <c r="N9" s="3"/>
      <c r="O9" s="3"/>
      <c r="P9" s="3"/>
    </row>
    <row r="10" spans="1:16" ht="15.6" x14ac:dyDescent="0.3">
      <c r="A10" s="13">
        <v>3</v>
      </c>
      <c r="B10" s="5" t="s">
        <v>11</v>
      </c>
      <c r="C10" s="14" t="s">
        <v>36</v>
      </c>
      <c r="D10" s="8"/>
      <c r="E10" s="35">
        <v>3.5</v>
      </c>
      <c r="F10" s="16">
        <v>78</v>
      </c>
      <c r="G10" s="11">
        <v>11</v>
      </c>
      <c r="H10" s="3"/>
      <c r="I10" s="8"/>
      <c r="J10" s="39"/>
      <c r="K10" s="3"/>
      <c r="L10" s="3"/>
      <c r="M10" s="3"/>
      <c r="N10" s="3"/>
      <c r="O10" s="3"/>
      <c r="P10" s="3"/>
    </row>
    <row r="11" spans="1:16" ht="15.6" x14ac:dyDescent="0.3">
      <c r="A11" s="13">
        <v>4</v>
      </c>
      <c r="B11" s="5" t="s">
        <v>12</v>
      </c>
      <c r="C11" s="14" t="s">
        <v>29</v>
      </c>
      <c r="D11" s="8"/>
      <c r="E11" s="35">
        <v>3.5</v>
      </c>
      <c r="F11" s="16"/>
      <c r="G11" s="11">
        <v>12</v>
      </c>
      <c r="H11" s="3"/>
      <c r="I11" s="8"/>
      <c r="J11" s="39"/>
      <c r="K11" s="3"/>
      <c r="L11" s="3"/>
      <c r="M11" s="3"/>
      <c r="N11" s="3"/>
      <c r="O11" s="3"/>
      <c r="P11" s="3"/>
    </row>
    <row r="12" spans="1:16" ht="15.6" x14ac:dyDescent="0.3">
      <c r="A12" s="13">
        <v>5</v>
      </c>
      <c r="B12" s="3"/>
      <c r="C12" s="31" t="s">
        <v>30</v>
      </c>
      <c r="D12" s="8"/>
      <c r="E12" s="35">
        <v>3.5</v>
      </c>
      <c r="F12" s="16"/>
      <c r="G12" s="11">
        <v>13</v>
      </c>
      <c r="H12" s="3"/>
      <c r="I12" s="8"/>
      <c r="J12" s="39"/>
      <c r="K12" s="3"/>
      <c r="L12" s="3"/>
      <c r="M12" s="3"/>
      <c r="N12" s="3"/>
      <c r="O12" s="3"/>
      <c r="P12" s="3"/>
    </row>
    <row r="13" spans="1:16" ht="15.6" x14ac:dyDescent="0.3">
      <c r="A13" s="13">
        <v>6</v>
      </c>
      <c r="B13" s="3"/>
      <c r="C13" s="14" t="s">
        <v>31</v>
      </c>
      <c r="D13" s="8"/>
      <c r="E13" s="35">
        <v>3.5</v>
      </c>
      <c r="F13" s="16">
        <v>74</v>
      </c>
      <c r="G13" s="11">
        <v>14</v>
      </c>
      <c r="H13" s="18"/>
      <c r="I13" s="8"/>
      <c r="J13" s="39"/>
      <c r="K13" s="3"/>
      <c r="L13" s="3"/>
      <c r="M13" s="3"/>
      <c r="N13" s="3"/>
      <c r="O13" s="3"/>
      <c r="P13" s="3"/>
    </row>
    <row r="14" spans="1:16" ht="15.6" x14ac:dyDescent="0.3">
      <c r="A14" s="13">
        <v>7</v>
      </c>
      <c r="B14" s="5" t="s">
        <v>52</v>
      </c>
      <c r="C14" s="14" t="s">
        <v>39</v>
      </c>
      <c r="D14" s="8"/>
      <c r="E14" s="35">
        <v>3.5</v>
      </c>
      <c r="F14" s="16"/>
      <c r="G14" s="11">
        <v>15</v>
      </c>
      <c r="H14" s="3"/>
      <c r="I14" s="8"/>
      <c r="J14" s="39"/>
      <c r="K14" s="3"/>
      <c r="L14" s="3"/>
      <c r="M14" s="3"/>
      <c r="N14" s="3"/>
      <c r="O14" s="3"/>
      <c r="P14" s="3"/>
    </row>
    <row r="15" spans="1:16" ht="15.6" x14ac:dyDescent="0.3">
      <c r="A15" s="13">
        <v>8</v>
      </c>
      <c r="B15" s="3"/>
      <c r="C15" s="14" t="s">
        <v>38</v>
      </c>
      <c r="D15" s="8"/>
      <c r="E15" s="35">
        <v>3.5</v>
      </c>
      <c r="F15" s="16"/>
      <c r="G15" s="11">
        <v>16</v>
      </c>
      <c r="H15" s="3"/>
      <c r="I15" s="8"/>
      <c r="J15" s="39"/>
      <c r="K15" s="3"/>
      <c r="L15" s="3"/>
      <c r="M15" s="3"/>
      <c r="N15" s="3"/>
      <c r="O15" s="3"/>
      <c r="P15" s="3"/>
    </row>
    <row r="16" spans="1:16" ht="15.6" x14ac:dyDescent="0.3">
      <c r="A16" s="3"/>
      <c r="B16" s="3"/>
      <c r="C16" s="3"/>
      <c r="D16" s="3"/>
      <c r="E16" s="3"/>
      <c r="F16" s="3"/>
      <c r="G16" s="13"/>
      <c r="H16" s="7" t="s">
        <v>13</v>
      </c>
      <c r="I16" s="3"/>
      <c r="J16" s="8">
        <f>SUM(E8:E15)+SUM(J8:J15)</f>
        <v>31.5</v>
      </c>
      <c r="K16" s="3"/>
      <c r="L16" s="3"/>
      <c r="M16" s="3"/>
      <c r="N16" s="3"/>
      <c r="O16" s="3"/>
      <c r="P16" s="3"/>
    </row>
    <row r="17" spans="1:16" ht="15.6" x14ac:dyDescent="0.3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  <c r="L17" s="3"/>
      <c r="M17" s="3"/>
      <c r="N17" s="3"/>
      <c r="O17" s="3"/>
      <c r="P17" s="3"/>
    </row>
    <row r="18" spans="1:16" ht="93.6" x14ac:dyDescent="0.3">
      <c r="A18" s="19"/>
      <c r="B18" s="20" t="s">
        <v>14</v>
      </c>
      <c r="C18" s="21" t="s">
        <v>15</v>
      </c>
      <c r="D18" s="22" t="s">
        <v>16</v>
      </c>
      <c r="E18" s="22" t="s">
        <v>17</v>
      </c>
      <c r="F18" s="22" t="s">
        <v>18</v>
      </c>
      <c r="G18" s="22" t="s">
        <v>19</v>
      </c>
      <c r="H18" s="22" t="s">
        <v>18</v>
      </c>
      <c r="I18" s="22" t="s">
        <v>19</v>
      </c>
      <c r="J18" s="22" t="s">
        <v>20</v>
      </c>
      <c r="K18" s="23" t="s">
        <v>21</v>
      </c>
      <c r="L18" s="24"/>
      <c r="M18" s="23" t="s">
        <v>22</v>
      </c>
      <c r="N18" s="23" t="s">
        <v>23</v>
      </c>
      <c r="O18" s="23" t="s">
        <v>24</v>
      </c>
      <c r="P18" s="23" t="s">
        <v>25</v>
      </c>
    </row>
    <row r="19" spans="1:16" ht="15.6" x14ac:dyDescent="0.3">
      <c r="A19" s="19"/>
      <c r="B19" s="19"/>
      <c r="C19" s="24"/>
      <c r="D19" s="24"/>
      <c r="E19" s="24"/>
      <c r="F19" s="24"/>
      <c r="G19" s="24"/>
      <c r="H19" s="24"/>
      <c r="I19" s="24"/>
      <c r="J19" s="24"/>
      <c r="K19" s="25"/>
      <c r="L19" s="24"/>
      <c r="M19" s="3"/>
      <c r="N19" s="3"/>
      <c r="O19" s="3"/>
      <c r="P19" s="3"/>
    </row>
    <row r="20" spans="1:16" ht="15.6" x14ac:dyDescent="0.3">
      <c r="A20" s="3"/>
      <c r="B20" s="8" t="s">
        <v>26</v>
      </c>
      <c r="C20" s="8">
        <v>1</v>
      </c>
      <c r="D20" s="8">
        <v>1</v>
      </c>
      <c r="E20" s="8"/>
      <c r="F20" s="8"/>
      <c r="G20" s="35">
        <v>0</v>
      </c>
      <c r="H20" s="8"/>
      <c r="I20" s="16"/>
      <c r="J20" s="35">
        <f>F20*G20+H20*I20</f>
        <v>0</v>
      </c>
      <c r="K20" s="16" t="e">
        <f>E20/(J20)</f>
        <v>#DIV/0!</v>
      </c>
      <c r="L20" s="3"/>
      <c r="M20" s="26">
        <f>E20+'5-20-22'!M20</f>
        <v>0</v>
      </c>
      <c r="N20" s="27">
        <f>M20/C20</f>
        <v>0</v>
      </c>
      <c r="O20" s="35">
        <f>J20+'5-20-22'!O20</f>
        <v>108</v>
      </c>
      <c r="P20" s="26">
        <f>M20/O20</f>
        <v>0</v>
      </c>
    </row>
    <row r="21" spans="1:16" ht="15.6" x14ac:dyDescent="0.3">
      <c r="A21" s="3"/>
      <c r="B21" s="3"/>
      <c r="C21" s="3"/>
      <c r="D21" s="3"/>
      <c r="E21" s="3"/>
      <c r="F21" s="3"/>
      <c r="G21" s="40"/>
      <c r="H21" s="3"/>
      <c r="I21" s="28"/>
      <c r="J21" s="40"/>
      <c r="K21" s="28"/>
      <c r="L21" s="3"/>
      <c r="M21" s="29"/>
      <c r="N21" s="3"/>
      <c r="O21" s="3"/>
      <c r="P21" s="3"/>
    </row>
    <row r="22" spans="1:16" ht="15.6" x14ac:dyDescent="0.3">
      <c r="A22" s="3"/>
      <c r="B22" s="8" t="s">
        <v>53</v>
      </c>
      <c r="C22" s="8">
        <v>125400</v>
      </c>
      <c r="D22" s="41"/>
      <c r="E22" s="41">
        <v>0</v>
      </c>
      <c r="F22" s="8"/>
      <c r="G22" s="35"/>
      <c r="H22" s="8"/>
      <c r="I22" s="16"/>
      <c r="J22" s="35">
        <f>F22*G22+H22*I22</f>
        <v>0</v>
      </c>
      <c r="K22" s="16" t="e">
        <f>E22/(J22)</f>
        <v>#DIV/0!</v>
      </c>
      <c r="L22" s="3"/>
      <c r="M22" s="26">
        <f>E22+'5-20-22'!M22</f>
        <v>80518</v>
      </c>
      <c r="N22" s="27">
        <f>M22/C22</f>
        <v>0.64208931419457738</v>
      </c>
      <c r="O22" s="35">
        <f>J22+'5-20-22'!O22</f>
        <v>294.75</v>
      </c>
      <c r="P22" s="26">
        <f>M22/O22</f>
        <v>273.17387616624256</v>
      </c>
    </row>
    <row r="23" spans="1:16" ht="15.6" x14ac:dyDescent="0.3">
      <c r="A23" s="3"/>
      <c r="B23" s="3"/>
      <c r="C23" s="3"/>
      <c r="D23" s="3"/>
      <c r="E23" s="3"/>
      <c r="F23" s="3"/>
      <c r="G23" s="40"/>
      <c r="H23" s="3"/>
      <c r="I23" s="28"/>
      <c r="J23" s="40"/>
      <c r="K23" s="28"/>
      <c r="L23" s="3"/>
      <c r="M23" s="29"/>
      <c r="N23" s="3"/>
      <c r="O23" s="36"/>
      <c r="P23" s="29"/>
    </row>
    <row r="24" spans="1:16" ht="15.6" x14ac:dyDescent="0.3">
      <c r="A24" s="3"/>
      <c r="B24" s="8" t="s">
        <v>54</v>
      </c>
      <c r="C24" s="8">
        <v>125400</v>
      </c>
      <c r="D24" s="8"/>
      <c r="E24" s="8"/>
      <c r="F24" s="8"/>
      <c r="G24" s="35"/>
      <c r="H24" s="8"/>
      <c r="I24" s="16"/>
      <c r="J24" s="35">
        <f>F24*G24+H24*I24</f>
        <v>0</v>
      </c>
      <c r="K24" s="16" t="e">
        <f>E24/(J24)</f>
        <v>#DIV/0!</v>
      </c>
      <c r="L24" s="3"/>
      <c r="M24" s="26">
        <f>E24+'5-20-22'!M24</f>
        <v>0</v>
      </c>
      <c r="N24" s="27">
        <f>M24/C24</f>
        <v>0</v>
      </c>
      <c r="O24" s="35">
        <f>J24+'5-20-22'!O24</f>
        <v>0</v>
      </c>
      <c r="P24" s="26" t="e">
        <f>M24/O24</f>
        <v>#DIV/0!</v>
      </c>
    </row>
    <row r="25" spans="1:16" ht="15.6" x14ac:dyDescent="0.3">
      <c r="A25" s="3"/>
      <c r="B25" s="3"/>
      <c r="C25" s="3"/>
      <c r="D25" s="3"/>
      <c r="E25" s="3"/>
      <c r="F25" s="3"/>
      <c r="G25" s="36"/>
      <c r="H25" s="3"/>
      <c r="I25" s="4"/>
      <c r="J25" s="36"/>
      <c r="K25" s="4"/>
      <c r="L25" s="3"/>
      <c r="M25" s="29"/>
      <c r="N25" s="3"/>
      <c r="O25" s="3"/>
      <c r="P25" s="3"/>
    </row>
    <row r="26" spans="1:16" ht="15.6" x14ac:dyDescent="0.3">
      <c r="A26" s="3"/>
      <c r="B26" s="8" t="s">
        <v>44</v>
      </c>
      <c r="C26" s="8">
        <v>3040</v>
      </c>
      <c r="D26" s="8"/>
      <c r="E26" s="8"/>
      <c r="F26" s="8"/>
      <c r="G26" s="35"/>
      <c r="H26" s="8"/>
      <c r="I26" s="16"/>
      <c r="J26" s="35">
        <f>F26*G26+H26*I26</f>
        <v>0</v>
      </c>
      <c r="K26" s="16" t="e">
        <f>E26/(J26)</f>
        <v>#DIV/0!</v>
      </c>
      <c r="L26" s="3"/>
      <c r="M26" s="26">
        <f>E26+'5-20-22'!M26</f>
        <v>0</v>
      </c>
      <c r="N26" s="27">
        <f>M26/C26</f>
        <v>0</v>
      </c>
      <c r="O26" s="35">
        <f>J26+'5-20-22'!O26</f>
        <v>0</v>
      </c>
      <c r="P26" s="26" t="e">
        <f>M26/O26</f>
        <v>#DIV/0!</v>
      </c>
    </row>
    <row r="27" spans="1:16" ht="15.6" x14ac:dyDescent="0.3">
      <c r="A27" s="3"/>
      <c r="B27" s="3"/>
      <c r="C27" s="3"/>
      <c r="D27" s="3"/>
      <c r="E27" s="3"/>
      <c r="F27" s="3"/>
      <c r="G27" s="36"/>
      <c r="H27" s="3"/>
      <c r="I27" s="4"/>
      <c r="J27" s="36"/>
      <c r="K27" s="4"/>
      <c r="L27" s="3"/>
      <c r="M27" s="29"/>
      <c r="N27" s="3"/>
      <c r="O27" s="3"/>
      <c r="P27" s="3"/>
    </row>
    <row r="28" spans="1:16" ht="15.6" x14ac:dyDescent="0.3">
      <c r="A28" s="3"/>
      <c r="B28" s="8" t="s">
        <v>45</v>
      </c>
      <c r="C28" s="8">
        <v>3040</v>
      </c>
      <c r="D28" s="8"/>
      <c r="E28" s="8"/>
      <c r="F28" s="8"/>
      <c r="G28" s="35"/>
      <c r="H28" s="8"/>
      <c r="I28" s="16"/>
      <c r="J28" s="35">
        <f>F28*G28+H28*I28</f>
        <v>0</v>
      </c>
      <c r="K28" s="16" t="e">
        <f>E28/(J28)</f>
        <v>#DIV/0!</v>
      </c>
      <c r="L28" s="3"/>
      <c r="M28" s="26">
        <f>E28+'5-20-22'!M28</f>
        <v>0</v>
      </c>
      <c r="N28" s="27">
        <f>M28/C28</f>
        <v>0</v>
      </c>
      <c r="O28" s="35">
        <f>J28+'5-20-22'!O28</f>
        <v>0</v>
      </c>
      <c r="P28" s="26" t="e">
        <f>M28/O28</f>
        <v>#DIV/0!</v>
      </c>
    </row>
    <row r="29" spans="1:16" ht="15.6" x14ac:dyDescent="0.3">
      <c r="A29" s="3"/>
      <c r="B29" s="3"/>
      <c r="C29" s="3"/>
      <c r="D29" s="3"/>
      <c r="E29" s="3"/>
      <c r="F29" s="3"/>
      <c r="G29" s="36"/>
      <c r="H29" s="3"/>
      <c r="I29" s="4"/>
      <c r="J29" s="36"/>
      <c r="K29" s="4"/>
      <c r="L29" s="3"/>
      <c r="M29" s="29"/>
      <c r="N29" s="3"/>
      <c r="O29" s="3"/>
      <c r="P29" s="3"/>
    </row>
    <row r="30" spans="1:16" ht="15.6" x14ac:dyDescent="0.3">
      <c r="A30" s="3"/>
      <c r="B30" s="8" t="s">
        <v>47</v>
      </c>
      <c r="C30" s="8">
        <v>125400</v>
      </c>
      <c r="D30" s="8"/>
      <c r="E30" s="8"/>
      <c r="F30" s="8"/>
      <c r="G30" s="35"/>
      <c r="H30" s="8"/>
      <c r="I30" s="16"/>
      <c r="J30" s="35">
        <f>F30*G30+H30*I30</f>
        <v>0</v>
      </c>
      <c r="K30" s="16" t="e">
        <f>E30/(J30)</f>
        <v>#DIV/0!</v>
      </c>
      <c r="L30" s="3"/>
      <c r="M30" s="26">
        <f>E30+'5-20-22'!M30</f>
        <v>0</v>
      </c>
      <c r="N30" s="27">
        <f>M30/C30</f>
        <v>0</v>
      </c>
      <c r="O30" s="35">
        <f>J30+'5-20-22'!O30</f>
        <v>0</v>
      </c>
      <c r="P30" s="26" t="e">
        <f>M30/O30</f>
        <v>#DIV/0!</v>
      </c>
    </row>
    <row r="31" spans="1:16" ht="15.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7"/>
      <c r="O31" s="3"/>
      <c r="P31" s="3"/>
    </row>
    <row r="32" spans="1:16" ht="15.6" x14ac:dyDescent="0.3">
      <c r="A32" s="3"/>
      <c r="B32" s="8" t="s">
        <v>46</v>
      </c>
      <c r="C32" s="8">
        <v>324</v>
      </c>
      <c r="D32" s="8"/>
      <c r="E32" s="8"/>
      <c r="F32" s="8"/>
      <c r="G32" s="35"/>
      <c r="H32" s="8"/>
      <c r="I32" s="16"/>
      <c r="J32" s="35">
        <f>F32*G32+H32*I32</f>
        <v>0</v>
      </c>
      <c r="K32" s="16" t="e">
        <f>E32/(J32)</f>
        <v>#DIV/0!</v>
      </c>
      <c r="L32" s="3"/>
      <c r="M32" s="26">
        <f>E32+'5-20-22'!M32</f>
        <v>0</v>
      </c>
      <c r="N32" s="27">
        <f>M32/C32</f>
        <v>0</v>
      </c>
      <c r="O32" s="35">
        <f>J32+'5-20-22'!O32</f>
        <v>0</v>
      </c>
      <c r="P32" s="26" t="e">
        <f>M32/O32</f>
        <v>#DIV/0!</v>
      </c>
    </row>
    <row r="33" spans="1:16" ht="15.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7"/>
      <c r="O33" s="3"/>
      <c r="P33" s="3"/>
    </row>
    <row r="34" spans="1:16" ht="15.6" x14ac:dyDescent="0.3">
      <c r="A34" s="3"/>
      <c r="B34" s="8" t="s">
        <v>48</v>
      </c>
      <c r="C34" s="8">
        <v>115000</v>
      </c>
      <c r="D34" s="8"/>
      <c r="E34" s="8"/>
      <c r="F34" s="8"/>
      <c r="G34" s="35"/>
      <c r="H34" s="8"/>
      <c r="I34" s="16"/>
      <c r="J34" s="35">
        <f>F34*G34+H34*I34</f>
        <v>0</v>
      </c>
      <c r="K34" s="16" t="e">
        <f>E34/(J34)</f>
        <v>#DIV/0!</v>
      </c>
      <c r="L34" s="3"/>
      <c r="M34" s="26">
        <f>E34+'5-20-22'!M34</f>
        <v>0</v>
      </c>
      <c r="N34" s="27">
        <f>M34/C34</f>
        <v>0</v>
      </c>
      <c r="O34" s="35">
        <f>J34+'5-20-22'!O34</f>
        <v>0</v>
      </c>
      <c r="P34" s="26" t="e">
        <f>M34/O34</f>
        <v>#DIV/0!</v>
      </c>
    </row>
    <row r="35" spans="1:16" ht="15.6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27"/>
      <c r="O35" s="3"/>
      <c r="P35" s="3"/>
    </row>
    <row r="36" spans="1:16" ht="15.6" x14ac:dyDescent="0.3">
      <c r="A36" s="3"/>
      <c r="B36" s="8" t="s">
        <v>49</v>
      </c>
      <c r="C36" s="8">
        <v>8</v>
      </c>
      <c r="D36" s="8"/>
      <c r="E36" s="8"/>
      <c r="F36" s="8"/>
      <c r="G36" s="35"/>
      <c r="H36" s="8"/>
      <c r="I36" s="16"/>
      <c r="J36" s="35">
        <f>F36*G36+H36*I36</f>
        <v>0</v>
      </c>
      <c r="K36" s="16" t="e">
        <f>E36/(J36)</f>
        <v>#DIV/0!</v>
      </c>
      <c r="L36" s="3"/>
      <c r="M36" s="26">
        <f>E36+'5-20-22'!M36</f>
        <v>0</v>
      </c>
      <c r="N36" s="27">
        <f>M36/C36</f>
        <v>0</v>
      </c>
      <c r="O36" s="35">
        <f>J36+'5-20-22'!O36</f>
        <v>0</v>
      </c>
      <c r="P36" s="26" t="e">
        <f>M36/O36</f>
        <v>#DIV/0!</v>
      </c>
    </row>
    <row r="37" spans="1:16" ht="15.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27"/>
      <c r="O37" s="3"/>
      <c r="P37" s="3"/>
    </row>
    <row r="38" spans="1:16" ht="15.6" x14ac:dyDescent="0.3">
      <c r="A38" s="3"/>
      <c r="B38" s="8" t="s">
        <v>50</v>
      </c>
      <c r="C38" s="8">
        <f>2760+480</f>
        <v>3240</v>
      </c>
      <c r="D38" s="8"/>
      <c r="E38" s="8"/>
      <c r="F38" s="8"/>
      <c r="G38" s="35"/>
      <c r="H38" s="8"/>
      <c r="I38" s="16"/>
      <c r="J38" s="35">
        <f>F38*G38+H38*I38</f>
        <v>0</v>
      </c>
      <c r="K38" s="16" t="e">
        <f>E38/(J38)</f>
        <v>#DIV/0!</v>
      </c>
      <c r="L38" s="3"/>
      <c r="M38" s="26">
        <f>E38+'5-20-22'!M38</f>
        <v>0</v>
      </c>
      <c r="N38" s="27">
        <f>M38/C38</f>
        <v>0</v>
      </c>
      <c r="O38" s="35">
        <f>J38+'5-20-22'!O38</f>
        <v>0</v>
      </c>
      <c r="P38" s="26" t="e">
        <f>M38/O38</f>
        <v>#DIV/0!</v>
      </c>
    </row>
    <row r="39" spans="1:16" ht="15.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7"/>
      <c r="O39" s="3"/>
      <c r="P39" s="3"/>
    </row>
    <row r="40" spans="1:16" ht="15.6" x14ac:dyDescent="0.3">
      <c r="A40" s="3"/>
      <c r="B40" s="8" t="s">
        <v>51</v>
      </c>
      <c r="C40" s="8">
        <v>25</v>
      </c>
      <c r="D40" s="8"/>
      <c r="E40" s="8"/>
      <c r="F40" s="8"/>
      <c r="G40" s="35"/>
      <c r="H40" s="8"/>
      <c r="I40" s="16"/>
      <c r="J40" s="35">
        <f>F40*G40+H40*I40</f>
        <v>0</v>
      </c>
      <c r="K40" s="16" t="e">
        <f>E40/(J40)</f>
        <v>#DIV/0!</v>
      </c>
      <c r="L40" s="3"/>
      <c r="M40" s="26">
        <f>E40+'5-20-22'!M40</f>
        <v>0</v>
      </c>
      <c r="N40" s="27">
        <f>M40/C40</f>
        <v>0</v>
      </c>
      <c r="O40" s="35">
        <f>J40+'5-20-22'!O40</f>
        <v>0</v>
      </c>
      <c r="P40" s="26" t="e">
        <f>M40/O40</f>
        <v>#DIV/0!</v>
      </c>
    </row>
    <row r="41" spans="1:16" ht="15.6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27"/>
      <c r="O41" s="3"/>
      <c r="P41" s="3"/>
    </row>
    <row r="42" spans="1:16" ht="15.6" x14ac:dyDescent="0.3">
      <c r="A42" s="3"/>
      <c r="B42" s="8" t="s">
        <v>75</v>
      </c>
      <c r="C42" s="8"/>
      <c r="D42" s="8"/>
      <c r="E42" s="8"/>
      <c r="F42" s="8">
        <v>9</v>
      </c>
      <c r="G42" s="35">
        <v>3.5</v>
      </c>
      <c r="H42" s="8"/>
      <c r="I42" s="16"/>
      <c r="J42" s="35">
        <f>F42*G42+H42*I42</f>
        <v>31.5</v>
      </c>
      <c r="K42" s="16">
        <f>E42/(J42)</f>
        <v>0</v>
      </c>
      <c r="L42" s="3"/>
      <c r="M42" s="26">
        <f>E42+'5-20-22'!M42</f>
        <v>0</v>
      </c>
      <c r="N42" s="27" t="e">
        <f>M42/C42</f>
        <v>#DIV/0!</v>
      </c>
      <c r="O42" s="35">
        <f>J42+'5-20-22'!O42</f>
        <v>31.5</v>
      </c>
      <c r="P42" s="26">
        <f>M42/O42</f>
        <v>0</v>
      </c>
    </row>
    <row r="43" spans="1:16" ht="15.6" x14ac:dyDescent="0.3">
      <c r="A43" s="3"/>
      <c r="B43" s="3" t="s">
        <v>27</v>
      </c>
      <c r="C43" s="3"/>
      <c r="D43" s="3"/>
      <c r="E43" s="3"/>
      <c r="F43" s="3"/>
      <c r="G43" s="3"/>
      <c r="H43" s="30"/>
      <c r="I43" s="4"/>
      <c r="J43" s="3">
        <f>J20+J22+J24+J26+J28+J30+J32+J34+J36+J38+J40+J42</f>
        <v>31.5</v>
      </c>
      <c r="K43" s="3"/>
      <c r="L43" s="3"/>
      <c r="M43" s="3"/>
      <c r="N43" s="3"/>
      <c r="O43" s="3">
        <f>O20+O22+O24+O26+O28+O30+O32+O34+O36+O38+O40+O42</f>
        <v>434.25</v>
      </c>
      <c r="P43" s="3"/>
    </row>
    <row r="44" spans="1:16" ht="15.6" x14ac:dyDescent="0.3">
      <c r="A44" s="3"/>
      <c r="B44" s="3"/>
      <c r="C44" s="3"/>
      <c r="D44" s="3"/>
      <c r="E44" s="3"/>
      <c r="F44" s="3"/>
      <c r="G44" s="3"/>
      <c r="H44" s="3"/>
      <c r="I44" s="4"/>
      <c r="J44" s="3"/>
      <c r="K44" s="3"/>
      <c r="L44" s="3"/>
      <c r="M44" s="3"/>
      <c r="N44" s="3"/>
      <c r="O44" s="3"/>
      <c r="P44" s="3"/>
    </row>
    <row r="45" spans="1:16" ht="15.6" x14ac:dyDescent="0.3">
      <c r="A45" s="3"/>
      <c r="B45" s="3" t="s">
        <v>28</v>
      </c>
      <c r="C45" s="3" t="s">
        <v>67</v>
      </c>
      <c r="D45" s="3"/>
      <c r="E45" s="3"/>
      <c r="F45" s="3"/>
      <c r="G45" s="3"/>
      <c r="H45" s="3"/>
      <c r="I45" s="4"/>
      <c r="J45" s="3"/>
      <c r="K45" s="3"/>
      <c r="L45" s="3"/>
      <c r="M45" s="3"/>
      <c r="N45" s="3"/>
      <c r="O45" s="3"/>
      <c r="P45" s="3"/>
    </row>
    <row r="46" spans="1:16" ht="15.6" x14ac:dyDescent="0.3">
      <c r="C46" s="33"/>
    </row>
    <row r="47" spans="1:16" ht="15.6" x14ac:dyDescent="0.3">
      <c r="B47" s="3" t="s">
        <v>32</v>
      </c>
      <c r="C47" s="33" t="s">
        <v>68</v>
      </c>
    </row>
    <row r="48" spans="1:16" ht="15.6" x14ac:dyDescent="0.3">
      <c r="C48" s="33"/>
    </row>
    <row r="49" spans="2:3" ht="15.6" x14ac:dyDescent="0.3">
      <c r="B49" s="3" t="s">
        <v>33</v>
      </c>
      <c r="C49" s="3" t="s">
        <v>69</v>
      </c>
    </row>
  </sheetData>
  <mergeCells count="2">
    <mergeCell ref="A1:G1"/>
    <mergeCell ref="H7:I7"/>
  </mergeCells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D5E15-28C5-47DA-8B4F-FDBD1B865662}">
  <dimension ref="A1:P47"/>
  <sheetViews>
    <sheetView topLeftCell="A19" zoomScale="85" zoomScaleNormal="85" workbookViewId="0">
      <selection activeCell="J42" sqref="J42"/>
    </sheetView>
  </sheetViews>
  <sheetFormatPr defaultRowHeight="14.4" x14ac:dyDescent="0.3"/>
  <cols>
    <col min="1" max="1" width="11.33203125" customWidth="1"/>
    <col min="2" max="2" width="29.33203125" customWidth="1"/>
    <col min="3" max="3" width="22.109375" customWidth="1"/>
    <col min="4" max="4" width="14.88671875" customWidth="1"/>
    <col min="5" max="5" width="16.6640625" customWidth="1"/>
    <col min="6" max="6" width="17.44140625" customWidth="1"/>
    <col min="8" max="8" width="20.44140625" customWidth="1"/>
    <col min="13" max="13" width="10.6640625" customWidth="1"/>
    <col min="15" max="15" width="10.6640625" customWidth="1"/>
  </cols>
  <sheetData>
    <row r="1" spans="1:16" ht="18" x14ac:dyDescent="0.35">
      <c r="A1" s="66" t="s">
        <v>0</v>
      </c>
      <c r="B1" s="66"/>
      <c r="C1" s="66"/>
      <c r="D1" s="66"/>
      <c r="E1" s="66"/>
      <c r="F1" s="66"/>
      <c r="G1" s="66"/>
      <c r="H1" s="1"/>
      <c r="I1" s="2"/>
      <c r="J1" s="1"/>
      <c r="K1" s="1"/>
      <c r="L1" s="1"/>
      <c r="M1" s="1"/>
      <c r="N1" s="1"/>
      <c r="O1" s="1"/>
      <c r="P1" s="1"/>
    </row>
    <row r="2" spans="1:16" ht="15.6" x14ac:dyDescent="0.3">
      <c r="A2" s="3"/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</row>
    <row r="3" spans="1:16" ht="15.6" x14ac:dyDescent="0.3">
      <c r="A3" s="3"/>
      <c r="B3" s="5" t="s">
        <v>1</v>
      </c>
      <c r="C3" s="6" t="s">
        <v>43</v>
      </c>
      <c r="D3" s="7"/>
      <c r="E3" s="3"/>
      <c r="F3" s="5" t="s">
        <v>2</v>
      </c>
      <c r="G3" s="8">
        <v>4355</v>
      </c>
      <c r="H3" s="5" t="s">
        <v>41</v>
      </c>
      <c r="I3" s="36">
        <v>49</v>
      </c>
      <c r="J3" s="3"/>
      <c r="K3" s="3"/>
      <c r="L3" s="3"/>
      <c r="M3" s="3"/>
      <c r="N3" s="3"/>
      <c r="O3" s="3"/>
      <c r="P3" s="3"/>
    </row>
    <row r="4" spans="1:16" ht="15.6" x14ac:dyDescent="0.3">
      <c r="A4" s="3"/>
      <c r="B4" s="5" t="s">
        <v>3</v>
      </c>
      <c r="C4" s="37">
        <v>300155</v>
      </c>
      <c r="D4" s="7"/>
      <c r="E4" s="3"/>
      <c r="F4" s="5" t="s">
        <v>4</v>
      </c>
      <c r="G4" s="8">
        <f>J16+'5-19-22'!G4</f>
        <v>402.75</v>
      </c>
      <c r="H4" s="34" t="s">
        <v>42</v>
      </c>
      <c r="I4" s="4">
        <v>5</v>
      </c>
      <c r="J4" s="3"/>
      <c r="K4" s="3"/>
      <c r="L4" s="3"/>
      <c r="M4" s="3"/>
      <c r="N4" s="3"/>
      <c r="O4" s="3"/>
      <c r="P4" s="3"/>
    </row>
    <row r="5" spans="1:16" ht="15.6" x14ac:dyDescent="0.3">
      <c r="A5" s="3"/>
      <c r="B5" s="5" t="s">
        <v>5</v>
      </c>
      <c r="C5" s="38">
        <v>44701</v>
      </c>
      <c r="D5" s="3"/>
      <c r="E5" s="3"/>
      <c r="F5" s="3"/>
      <c r="G5" s="3"/>
      <c r="H5" s="3"/>
      <c r="I5" s="4"/>
      <c r="J5" s="3"/>
      <c r="K5" s="3"/>
      <c r="L5" s="3"/>
      <c r="M5" s="3"/>
      <c r="N5" s="3"/>
      <c r="O5" s="3"/>
      <c r="P5" s="3"/>
    </row>
    <row r="6" spans="1:16" ht="15.6" x14ac:dyDescent="0.3">
      <c r="A6" s="3"/>
      <c r="B6" s="5"/>
      <c r="C6" s="3"/>
      <c r="D6" s="3"/>
      <c r="E6" s="3"/>
      <c r="F6" s="3"/>
      <c r="G6" s="3"/>
      <c r="H6" s="3"/>
      <c r="I6" s="4"/>
      <c r="J6" s="3"/>
      <c r="K6" s="3"/>
      <c r="L6" s="3"/>
      <c r="M6" s="3"/>
      <c r="N6" s="3"/>
      <c r="O6" s="3"/>
      <c r="P6" s="3"/>
    </row>
    <row r="7" spans="1:16" ht="15.6" x14ac:dyDescent="0.3">
      <c r="A7" s="10" t="s">
        <v>6</v>
      </c>
      <c r="B7" s="11"/>
      <c r="C7" s="12" t="s">
        <v>7</v>
      </c>
      <c r="D7" s="3"/>
      <c r="E7" s="12" t="s">
        <v>8</v>
      </c>
      <c r="F7" s="12" t="s">
        <v>34</v>
      </c>
      <c r="G7" s="3"/>
      <c r="H7" s="67" t="s">
        <v>7</v>
      </c>
      <c r="I7" s="67"/>
      <c r="J7" s="12" t="s">
        <v>8</v>
      </c>
      <c r="K7" s="3"/>
      <c r="L7" s="3"/>
      <c r="M7" s="3"/>
      <c r="N7" s="3"/>
      <c r="O7" s="3"/>
      <c r="P7" s="3"/>
    </row>
    <row r="8" spans="1:16" ht="15.6" x14ac:dyDescent="0.3">
      <c r="A8" s="13">
        <v>1</v>
      </c>
      <c r="B8" s="5" t="s">
        <v>9</v>
      </c>
      <c r="C8" s="14" t="s">
        <v>35</v>
      </c>
      <c r="D8" s="15"/>
      <c r="E8" s="35">
        <v>8.5</v>
      </c>
      <c r="F8" s="16">
        <v>66</v>
      </c>
      <c r="G8" s="11">
        <v>9</v>
      </c>
      <c r="H8" s="14" t="s">
        <v>40</v>
      </c>
      <c r="I8" s="8"/>
      <c r="J8" s="39">
        <v>8.5</v>
      </c>
      <c r="K8" s="3"/>
      <c r="L8" s="3"/>
      <c r="M8" s="3"/>
      <c r="N8" s="3"/>
      <c r="O8" s="3"/>
      <c r="P8" s="3"/>
    </row>
    <row r="9" spans="1:16" ht="15.6" x14ac:dyDescent="0.3">
      <c r="A9" s="13">
        <v>2</v>
      </c>
      <c r="B9" s="5" t="s">
        <v>10</v>
      </c>
      <c r="C9" s="14" t="s">
        <v>37</v>
      </c>
      <c r="D9" s="8"/>
      <c r="E9" s="35">
        <v>8.5</v>
      </c>
      <c r="F9" s="16"/>
      <c r="G9" s="11">
        <v>10</v>
      </c>
      <c r="H9" s="14"/>
      <c r="I9" s="8"/>
      <c r="J9" s="39"/>
      <c r="K9" s="3"/>
      <c r="L9" s="3"/>
      <c r="M9" s="3"/>
      <c r="N9" s="3"/>
      <c r="O9" s="3"/>
      <c r="P9" s="3"/>
    </row>
    <row r="10" spans="1:16" ht="15.6" x14ac:dyDescent="0.3">
      <c r="A10" s="13">
        <v>3</v>
      </c>
      <c r="B10" s="5" t="s">
        <v>11</v>
      </c>
      <c r="C10" s="14" t="s">
        <v>36</v>
      </c>
      <c r="D10" s="8"/>
      <c r="E10" s="35">
        <v>8.5</v>
      </c>
      <c r="F10" s="16">
        <v>78</v>
      </c>
      <c r="G10" s="11">
        <v>11</v>
      </c>
      <c r="H10" s="3"/>
      <c r="I10" s="8"/>
      <c r="J10" s="39"/>
      <c r="K10" s="3"/>
      <c r="L10" s="3"/>
      <c r="M10" s="3"/>
      <c r="N10" s="3"/>
      <c r="O10" s="3"/>
      <c r="P10" s="3"/>
    </row>
    <row r="11" spans="1:16" ht="15.6" x14ac:dyDescent="0.3">
      <c r="A11" s="13">
        <v>4</v>
      </c>
      <c r="B11" s="5" t="s">
        <v>12</v>
      </c>
      <c r="C11" s="14" t="s">
        <v>29</v>
      </c>
      <c r="D11" s="8"/>
      <c r="E11" s="35">
        <v>8.5</v>
      </c>
      <c r="F11" s="16"/>
      <c r="G11" s="11">
        <v>12</v>
      </c>
      <c r="H11" s="3"/>
      <c r="I11" s="8"/>
      <c r="J11" s="39"/>
      <c r="K11" s="3"/>
      <c r="L11" s="3"/>
      <c r="M11" s="3"/>
      <c r="N11" s="3"/>
      <c r="O11" s="3"/>
      <c r="P11" s="3"/>
    </row>
    <row r="12" spans="1:16" ht="15.6" x14ac:dyDescent="0.3">
      <c r="A12" s="13">
        <v>5</v>
      </c>
      <c r="B12" s="3"/>
      <c r="C12" s="31" t="s">
        <v>30</v>
      </c>
      <c r="D12" s="8"/>
      <c r="E12" s="35">
        <v>8.5</v>
      </c>
      <c r="F12" s="16"/>
      <c r="G12" s="11">
        <v>13</v>
      </c>
      <c r="H12" s="3"/>
      <c r="I12" s="8"/>
      <c r="J12" s="39"/>
      <c r="K12" s="3"/>
      <c r="L12" s="3"/>
      <c r="M12" s="3"/>
      <c r="N12" s="3"/>
      <c r="O12" s="3"/>
      <c r="P12" s="3"/>
    </row>
    <row r="13" spans="1:16" ht="15.6" x14ac:dyDescent="0.3">
      <c r="A13" s="13">
        <v>6</v>
      </c>
      <c r="B13" s="3"/>
      <c r="C13" s="14" t="s">
        <v>31</v>
      </c>
      <c r="D13" s="8"/>
      <c r="E13" s="35">
        <v>8.5</v>
      </c>
      <c r="F13" s="16">
        <v>74</v>
      </c>
      <c r="G13" s="11">
        <v>14</v>
      </c>
      <c r="H13" s="18"/>
      <c r="I13" s="8"/>
      <c r="J13" s="39"/>
      <c r="K13" s="3"/>
      <c r="L13" s="3"/>
      <c r="M13" s="3"/>
      <c r="N13" s="3"/>
      <c r="O13" s="3"/>
      <c r="P13" s="3"/>
    </row>
    <row r="14" spans="1:16" ht="15.6" x14ac:dyDescent="0.3">
      <c r="A14" s="13">
        <v>7</v>
      </c>
      <c r="B14" s="5" t="s">
        <v>52</v>
      </c>
      <c r="C14" s="14" t="s">
        <v>39</v>
      </c>
      <c r="D14" s="8"/>
      <c r="E14" s="35">
        <v>8.5</v>
      </c>
      <c r="F14" s="16"/>
      <c r="G14" s="11">
        <v>15</v>
      </c>
      <c r="H14" s="3"/>
      <c r="I14" s="8"/>
      <c r="J14" s="39"/>
      <c r="K14" s="3"/>
      <c r="L14" s="3"/>
      <c r="M14" s="3"/>
      <c r="N14" s="3"/>
      <c r="O14" s="3"/>
      <c r="P14" s="3"/>
    </row>
    <row r="15" spans="1:16" ht="15.6" x14ac:dyDescent="0.3">
      <c r="A15" s="13">
        <v>8</v>
      </c>
      <c r="B15" s="3"/>
      <c r="C15" s="14" t="s">
        <v>38</v>
      </c>
      <c r="D15" s="8"/>
      <c r="E15" s="35">
        <v>8.5</v>
      </c>
      <c r="F15" s="16"/>
      <c r="G15" s="11">
        <v>16</v>
      </c>
      <c r="H15" s="3"/>
      <c r="I15" s="8"/>
      <c r="J15" s="39"/>
      <c r="K15" s="3"/>
      <c r="L15" s="3"/>
      <c r="M15" s="3"/>
      <c r="N15" s="3"/>
      <c r="O15" s="3"/>
      <c r="P15" s="3"/>
    </row>
    <row r="16" spans="1:16" ht="15.6" x14ac:dyDescent="0.3">
      <c r="A16" s="3"/>
      <c r="B16" s="3"/>
      <c r="C16" s="3"/>
      <c r="D16" s="3"/>
      <c r="E16" s="3"/>
      <c r="F16" s="3"/>
      <c r="G16" s="13"/>
      <c r="H16" s="7" t="s">
        <v>13</v>
      </c>
      <c r="I16" s="3"/>
      <c r="J16" s="8">
        <f>SUM(E8:E15)+SUM(J8:J15)</f>
        <v>76.5</v>
      </c>
      <c r="K16" s="3"/>
      <c r="L16" s="3"/>
      <c r="M16" s="3"/>
      <c r="N16" s="3"/>
      <c r="O16" s="3"/>
      <c r="P16" s="3"/>
    </row>
    <row r="17" spans="1:16" ht="15.6" x14ac:dyDescent="0.3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  <c r="L17" s="3"/>
      <c r="M17" s="3"/>
      <c r="N17" s="3"/>
      <c r="O17" s="3"/>
      <c r="P17" s="3"/>
    </row>
    <row r="18" spans="1:16" ht="93.6" x14ac:dyDescent="0.3">
      <c r="A18" s="19"/>
      <c r="B18" s="20" t="s">
        <v>14</v>
      </c>
      <c r="C18" s="21" t="s">
        <v>15</v>
      </c>
      <c r="D18" s="22" t="s">
        <v>16</v>
      </c>
      <c r="E18" s="22" t="s">
        <v>17</v>
      </c>
      <c r="F18" s="22" t="s">
        <v>18</v>
      </c>
      <c r="G18" s="22" t="s">
        <v>19</v>
      </c>
      <c r="H18" s="22" t="s">
        <v>18</v>
      </c>
      <c r="I18" s="22" t="s">
        <v>19</v>
      </c>
      <c r="J18" s="22" t="s">
        <v>20</v>
      </c>
      <c r="K18" s="23" t="s">
        <v>21</v>
      </c>
      <c r="L18" s="24"/>
      <c r="M18" s="23" t="s">
        <v>22</v>
      </c>
      <c r="N18" s="23" t="s">
        <v>23</v>
      </c>
      <c r="O18" s="23" t="s">
        <v>24</v>
      </c>
      <c r="P18" s="23" t="s">
        <v>25</v>
      </c>
    </row>
    <row r="19" spans="1:16" ht="15.6" x14ac:dyDescent="0.3">
      <c r="A19" s="19"/>
      <c r="B19" s="19"/>
      <c r="C19" s="24"/>
      <c r="D19" s="24"/>
      <c r="E19" s="24"/>
      <c r="F19" s="24"/>
      <c r="G19" s="24"/>
      <c r="H19" s="24"/>
      <c r="I19" s="24"/>
      <c r="J19" s="24"/>
      <c r="K19" s="25"/>
      <c r="L19" s="24"/>
      <c r="M19" s="3"/>
      <c r="N19" s="3"/>
      <c r="O19" s="3"/>
      <c r="P19" s="3"/>
    </row>
    <row r="20" spans="1:16" ht="15.6" x14ac:dyDescent="0.3">
      <c r="A20" s="3"/>
      <c r="B20" s="8" t="s">
        <v>26</v>
      </c>
      <c r="C20" s="8">
        <v>1</v>
      </c>
      <c r="D20" s="8">
        <v>1</v>
      </c>
      <c r="E20" s="8"/>
      <c r="F20" s="8"/>
      <c r="G20" s="35">
        <v>0</v>
      </c>
      <c r="H20" s="8"/>
      <c r="I20" s="16"/>
      <c r="J20" s="35">
        <f>F20*G20+H20*I20</f>
        <v>0</v>
      </c>
      <c r="K20" s="16" t="e">
        <f>E20/(J20)</f>
        <v>#DIV/0!</v>
      </c>
      <c r="L20" s="3"/>
      <c r="M20" s="26">
        <v>0</v>
      </c>
      <c r="N20" s="27">
        <f>M20/C20</f>
        <v>0</v>
      </c>
      <c r="O20" s="35">
        <f>J20+'5-19-22'!O20</f>
        <v>108</v>
      </c>
      <c r="P20" s="26">
        <f>M20/O20</f>
        <v>0</v>
      </c>
    </row>
    <row r="21" spans="1:16" ht="15.6" x14ac:dyDescent="0.3">
      <c r="A21" s="3"/>
      <c r="B21" s="3"/>
      <c r="C21" s="3"/>
      <c r="D21" s="3"/>
      <c r="E21" s="3"/>
      <c r="F21" s="3"/>
      <c r="G21" s="40"/>
      <c r="H21" s="3"/>
      <c r="I21" s="28"/>
      <c r="J21" s="40"/>
      <c r="K21" s="28"/>
      <c r="L21" s="3"/>
      <c r="M21" s="29"/>
      <c r="N21" s="3"/>
      <c r="O21" s="3"/>
      <c r="P21" s="3"/>
    </row>
    <row r="22" spans="1:16" ht="15.6" x14ac:dyDescent="0.3">
      <c r="A22" s="3"/>
      <c r="B22" s="8" t="s">
        <v>53</v>
      </c>
      <c r="C22" s="8">
        <v>125400</v>
      </c>
      <c r="D22" s="41"/>
      <c r="E22" s="41">
        <v>28060</v>
      </c>
      <c r="F22" s="8">
        <v>9</v>
      </c>
      <c r="G22" s="35">
        <v>8.5</v>
      </c>
      <c r="H22" s="8"/>
      <c r="I22" s="16"/>
      <c r="J22" s="35">
        <f>F22*G22+H22*I22</f>
        <v>76.5</v>
      </c>
      <c r="K22" s="16">
        <f>E22/(J22)</f>
        <v>366.79738562091501</v>
      </c>
      <c r="L22" s="3"/>
      <c r="M22" s="26">
        <f>E22+'5-19-22'!M22</f>
        <v>80518</v>
      </c>
      <c r="N22" s="27">
        <f>M22/C22</f>
        <v>0.64208931419457738</v>
      </c>
      <c r="O22" s="35">
        <f>J22+'5-19-22'!O22</f>
        <v>294.75</v>
      </c>
      <c r="P22" s="26">
        <f>M22/O22</f>
        <v>273.17387616624256</v>
      </c>
    </row>
    <row r="23" spans="1:16" ht="15.6" x14ac:dyDescent="0.3">
      <c r="A23" s="3"/>
      <c r="B23" s="3"/>
      <c r="C23" s="3"/>
      <c r="D23" s="3"/>
      <c r="E23" s="3"/>
      <c r="F23" s="3"/>
      <c r="G23" s="40"/>
      <c r="H23" s="3"/>
      <c r="I23" s="28"/>
      <c r="J23" s="40"/>
      <c r="K23" s="28"/>
      <c r="L23" s="3"/>
      <c r="M23" s="29"/>
      <c r="N23" s="3"/>
      <c r="O23" s="36"/>
      <c r="P23" s="29"/>
    </row>
    <row r="24" spans="1:16" ht="15.6" x14ac:dyDescent="0.3">
      <c r="A24" s="3"/>
      <c r="B24" s="8" t="s">
        <v>54</v>
      </c>
      <c r="C24" s="8">
        <v>125400</v>
      </c>
      <c r="D24" s="8"/>
      <c r="E24" s="8"/>
      <c r="F24" s="8"/>
      <c r="G24" s="35"/>
      <c r="H24" s="8"/>
      <c r="I24" s="16"/>
      <c r="J24" s="35">
        <f>F24*G24+H24*I24</f>
        <v>0</v>
      </c>
      <c r="K24" s="16" t="e">
        <f>E24/(J24)</f>
        <v>#DIV/0!</v>
      </c>
      <c r="L24" s="3"/>
      <c r="M24" s="26">
        <f>E24+'5-19-22'!M24</f>
        <v>0</v>
      </c>
      <c r="N24" s="27">
        <f>M24/C24</f>
        <v>0</v>
      </c>
      <c r="O24" s="35">
        <f>J24+'5-19-22'!O24</f>
        <v>0</v>
      </c>
      <c r="P24" s="26" t="e">
        <f>M24/O24</f>
        <v>#DIV/0!</v>
      </c>
    </row>
    <row r="25" spans="1:16" ht="15.6" x14ac:dyDescent="0.3">
      <c r="A25" s="3"/>
      <c r="B25" s="3"/>
      <c r="C25" s="3"/>
      <c r="D25" s="3"/>
      <c r="E25" s="3"/>
      <c r="F25" s="3"/>
      <c r="G25" s="36"/>
      <c r="H25" s="3"/>
      <c r="I25" s="4"/>
      <c r="J25" s="36"/>
      <c r="K25" s="4"/>
      <c r="L25" s="3"/>
      <c r="M25" s="29"/>
      <c r="N25" s="3"/>
      <c r="O25" s="3"/>
      <c r="P25" s="3"/>
    </row>
    <row r="26" spans="1:16" ht="15.6" x14ac:dyDescent="0.3">
      <c r="A26" s="3"/>
      <c r="B26" s="8" t="s">
        <v>44</v>
      </c>
      <c r="C26" s="8">
        <v>3040</v>
      </c>
      <c r="D26" s="8"/>
      <c r="E26" s="8"/>
      <c r="F26" s="8"/>
      <c r="G26" s="35"/>
      <c r="H26" s="8"/>
      <c r="I26" s="16"/>
      <c r="J26" s="35">
        <f>F26*G26+H26*I26</f>
        <v>0</v>
      </c>
      <c r="K26" s="16" t="e">
        <f>E26/(J26)</f>
        <v>#DIV/0!</v>
      </c>
      <c r="L26" s="3"/>
      <c r="M26" s="26">
        <f>E26+'5-19-22'!M26</f>
        <v>0</v>
      </c>
      <c r="N26" s="27">
        <f>M26/C26</f>
        <v>0</v>
      </c>
      <c r="O26" s="35">
        <f>J26+'5-19-22'!O26</f>
        <v>0</v>
      </c>
      <c r="P26" s="26" t="e">
        <f>M26/O26</f>
        <v>#DIV/0!</v>
      </c>
    </row>
    <row r="27" spans="1:16" ht="15.6" x14ac:dyDescent="0.3">
      <c r="A27" s="3"/>
      <c r="B27" s="3"/>
      <c r="C27" s="3"/>
      <c r="D27" s="3"/>
      <c r="E27" s="3"/>
      <c r="F27" s="3"/>
      <c r="G27" s="36"/>
      <c r="H27" s="3"/>
      <c r="I27" s="4"/>
      <c r="J27" s="36"/>
      <c r="K27" s="4"/>
      <c r="L27" s="3"/>
      <c r="M27" s="29"/>
      <c r="N27" s="3"/>
      <c r="O27" s="3"/>
      <c r="P27" s="3"/>
    </row>
    <row r="28" spans="1:16" ht="15.6" x14ac:dyDescent="0.3">
      <c r="A28" s="3"/>
      <c r="B28" s="8" t="s">
        <v>45</v>
      </c>
      <c r="C28" s="8">
        <v>3040</v>
      </c>
      <c r="D28" s="8"/>
      <c r="E28" s="8"/>
      <c r="F28" s="8"/>
      <c r="G28" s="35"/>
      <c r="H28" s="8"/>
      <c r="I28" s="16"/>
      <c r="J28" s="35">
        <f>F28*G28+H28*I28</f>
        <v>0</v>
      </c>
      <c r="K28" s="16" t="e">
        <f>E28/(J28)</f>
        <v>#DIV/0!</v>
      </c>
      <c r="L28" s="3"/>
      <c r="M28" s="26">
        <f>E28+'5-19-22'!M28</f>
        <v>0</v>
      </c>
      <c r="N28" s="27">
        <f>M28/C28</f>
        <v>0</v>
      </c>
      <c r="O28" s="35">
        <f>J28+'5-19-22'!O28</f>
        <v>0</v>
      </c>
      <c r="P28" s="26" t="e">
        <f>M28/O28</f>
        <v>#DIV/0!</v>
      </c>
    </row>
    <row r="29" spans="1:16" ht="15.6" x14ac:dyDescent="0.3">
      <c r="A29" s="3"/>
      <c r="B29" s="3"/>
      <c r="C29" s="3"/>
      <c r="D29" s="3"/>
      <c r="E29" s="3"/>
      <c r="F29" s="3"/>
      <c r="G29" s="36"/>
      <c r="H29" s="3"/>
      <c r="I29" s="4"/>
      <c r="J29" s="36"/>
      <c r="K29" s="4"/>
      <c r="L29" s="3"/>
      <c r="M29" s="29"/>
      <c r="N29" s="3"/>
      <c r="O29" s="3"/>
      <c r="P29" s="3"/>
    </row>
    <row r="30" spans="1:16" ht="15.6" x14ac:dyDescent="0.3">
      <c r="A30" s="3"/>
      <c r="B30" s="8" t="s">
        <v>47</v>
      </c>
      <c r="C30" s="8">
        <v>125400</v>
      </c>
      <c r="D30" s="8"/>
      <c r="E30" s="8"/>
      <c r="F30" s="8"/>
      <c r="G30" s="35"/>
      <c r="H30" s="8"/>
      <c r="I30" s="16"/>
      <c r="J30" s="35">
        <f>F30*G30+H30*I30</f>
        <v>0</v>
      </c>
      <c r="K30" s="16" t="e">
        <f>E30/(J30)</f>
        <v>#DIV/0!</v>
      </c>
      <c r="L30" s="3"/>
      <c r="M30" s="26">
        <f>E30+'5-19-22'!M30</f>
        <v>0</v>
      </c>
      <c r="N30" s="27">
        <f>M30/C30</f>
        <v>0</v>
      </c>
      <c r="O30" s="35">
        <f>J30+'5-19-22'!O30</f>
        <v>0</v>
      </c>
      <c r="P30" s="26" t="e">
        <f>M30/O30</f>
        <v>#DIV/0!</v>
      </c>
    </row>
    <row r="31" spans="1:16" ht="15.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7"/>
      <c r="O31" s="3"/>
      <c r="P31" s="3"/>
    </row>
    <row r="32" spans="1:16" ht="15.6" x14ac:dyDescent="0.3">
      <c r="A32" s="3"/>
      <c r="B32" s="8" t="s">
        <v>46</v>
      </c>
      <c r="C32" s="8">
        <v>324</v>
      </c>
      <c r="D32" s="8"/>
      <c r="E32" s="8"/>
      <c r="F32" s="8"/>
      <c r="G32" s="35"/>
      <c r="H32" s="8"/>
      <c r="I32" s="16"/>
      <c r="J32" s="35">
        <f>F32*G32+H32*I32</f>
        <v>0</v>
      </c>
      <c r="K32" s="16" t="e">
        <f>E32/(J32)</f>
        <v>#DIV/0!</v>
      </c>
      <c r="L32" s="3"/>
      <c r="M32" s="26">
        <f>E32+'5-19-22'!M32</f>
        <v>0</v>
      </c>
      <c r="N32" s="27">
        <f>M32/C32</f>
        <v>0</v>
      </c>
      <c r="O32" s="35">
        <f>J32+'5-19-22'!O32</f>
        <v>0</v>
      </c>
      <c r="P32" s="26" t="e">
        <f>M32/O32</f>
        <v>#DIV/0!</v>
      </c>
    </row>
    <row r="33" spans="1:16" ht="15.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7"/>
      <c r="O33" s="3"/>
      <c r="P33" s="3"/>
    </row>
    <row r="34" spans="1:16" ht="15.6" x14ac:dyDescent="0.3">
      <c r="A34" s="3"/>
      <c r="B34" s="8" t="s">
        <v>48</v>
      </c>
      <c r="C34" s="8">
        <v>115000</v>
      </c>
      <c r="D34" s="8"/>
      <c r="E34" s="8"/>
      <c r="F34" s="8"/>
      <c r="G34" s="35"/>
      <c r="H34" s="8"/>
      <c r="I34" s="16"/>
      <c r="J34" s="35">
        <f>F34*G34+H34*I34</f>
        <v>0</v>
      </c>
      <c r="K34" s="16" t="e">
        <f>E34/(J34)</f>
        <v>#DIV/0!</v>
      </c>
      <c r="L34" s="3"/>
      <c r="M34" s="26">
        <f>E34+'5-19-22'!M34</f>
        <v>0</v>
      </c>
      <c r="N34" s="27">
        <f>M34/C34</f>
        <v>0</v>
      </c>
      <c r="O34" s="35">
        <f>J34+'5-19-22'!O34</f>
        <v>0</v>
      </c>
      <c r="P34" s="26" t="e">
        <f>M34/O34</f>
        <v>#DIV/0!</v>
      </c>
    </row>
    <row r="35" spans="1:16" ht="15.6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27"/>
      <c r="O35" s="3"/>
      <c r="P35" s="3"/>
    </row>
    <row r="36" spans="1:16" ht="15.6" x14ac:dyDescent="0.3">
      <c r="A36" s="3"/>
      <c r="B36" s="8" t="s">
        <v>49</v>
      </c>
      <c r="C36" s="8">
        <v>8</v>
      </c>
      <c r="D36" s="8"/>
      <c r="E36" s="8"/>
      <c r="F36" s="8"/>
      <c r="G36" s="35"/>
      <c r="H36" s="8"/>
      <c r="I36" s="16"/>
      <c r="J36" s="35">
        <f>F36*G36+H36*I36</f>
        <v>0</v>
      </c>
      <c r="K36" s="16" t="e">
        <f>E36/(J36)</f>
        <v>#DIV/0!</v>
      </c>
      <c r="L36" s="3"/>
      <c r="M36" s="26">
        <f>E36+'5-19-22'!M36</f>
        <v>0</v>
      </c>
      <c r="N36" s="27">
        <f>M36/C36</f>
        <v>0</v>
      </c>
      <c r="O36" s="35">
        <f>J36+'5-19-22'!O36</f>
        <v>0</v>
      </c>
      <c r="P36" s="26" t="e">
        <f>M36/O36</f>
        <v>#DIV/0!</v>
      </c>
    </row>
    <row r="37" spans="1:16" ht="15.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27"/>
      <c r="O37" s="3"/>
      <c r="P37" s="3"/>
    </row>
    <row r="38" spans="1:16" ht="15.6" x14ac:dyDescent="0.3">
      <c r="A38" s="3"/>
      <c r="B38" s="8" t="s">
        <v>50</v>
      </c>
      <c r="C38" s="8">
        <f>2760+480</f>
        <v>3240</v>
      </c>
      <c r="D38" s="8"/>
      <c r="E38" s="8"/>
      <c r="F38" s="8"/>
      <c r="G38" s="35"/>
      <c r="H38" s="8"/>
      <c r="I38" s="16"/>
      <c r="J38" s="35">
        <f>F38*G38+H38*I38</f>
        <v>0</v>
      </c>
      <c r="K38" s="16" t="e">
        <f>E38/(J38)</f>
        <v>#DIV/0!</v>
      </c>
      <c r="L38" s="3"/>
      <c r="M38" s="26">
        <f>E38+'5-19-22'!M38</f>
        <v>0</v>
      </c>
      <c r="N38" s="27">
        <f>M38/C38</f>
        <v>0</v>
      </c>
      <c r="O38" s="35">
        <f>J38+'5-19-22'!O38</f>
        <v>0</v>
      </c>
      <c r="P38" s="26" t="e">
        <f>M38/O38</f>
        <v>#DIV/0!</v>
      </c>
    </row>
    <row r="39" spans="1:16" ht="15.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7"/>
      <c r="O39" s="3"/>
      <c r="P39" s="3"/>
    </row>
    <row r="40" spans="1:16" ht="15.6" x14ac:dyDescent="0.3">
      <c r="A40" s="3"/>
      <c r="B40" s="8" t="s">
        <v>51</v>
      </c>
      <c r="C40" s="8">
        <v>25</v>
      </c>
      <c r="D40" s="8"/>
      <c r="E40" s="8"/>
      <c r="F40" s="8"/>
      <c r="G40" s="35"/>
      <c r="H40" s="8"/>
      <c r="I40" s="16"/>
      <c r="J40" s="35">
        <f>F40*G40+H40*I40</f>
        <v>0</v>
      </c>
      <c r="K40" s="16" t="e">
        <f>E40/(J40)</f>
        <v>#DIV/0!</v>
      </c>
      <c r="L40" s="3"/>
      <c r="M40" s="26">
        <f>E40+'5-19-22'!M40</f>
        <v>0</v>
      </c>
      <c r="N40" s="27">
        <f>M40/C40</f>
        <v>0</v>
      </c>
      <c r="O40" s="35">
        <f>J40+'5-19-22'!O40</f>
        <v>0</v>
      </c>
      <c r="P40" s="26" t="e">
        <f>M40/O40</f>
        <v>#DIV/0!</v>
      </c>
    </row>
    <row r="41" spans="1:16" ht="15.6" x14ac:dyDescent="0.3">
      <c r="A41" s="3"/>
      <c r="B41" s="3" t="s">
        <v>27</v>
      </c>
      <c r="C41" s="3"/>
      <c r="D41" s="3"/>
      <c r="E41" s="3"/>
      <c r="F41" s="3"/>
      <c r="G41" s="3"/>
      <c r="H41" s="30"/>
      <c r="I41" s="4"/>
      <c r="J41" s="3">
        <f>J20+J22+J24+J26+J28+J30+J32+J34+J36+J38+J40</f>
        <v>76.5</v>
      </c>
      <c r="K41" s="3"/>
      <c r="L41" s="3"/>
      <c r="M41" s="3"/>
      <c r="N41" s="3"/>
      <c r="O41" s="3">
        <f>O20+O22+O24+O26+O28+O30+O32+O34+O36+O38+O40</f>
        <v>402.75</v>
      </c>
      <c r="P41" s="3"/>
    </row>
    <row r="42" spans="1:16" ht="15.6" x14ac:dyDescent="0.3">
      <c r="A42" s="3"/>
      <c r="B42" s="3"/>
      <c r="C42" s="3"/>
      <c r="D42" s="3"/>
      <c r="E42" s="3"/>
      <c r="F42" s="3"/>
      <c r="G42" s="3"/>
      <c r="H42" s="3"/>
      <c r="I42" s="4"/>
      <c r="J42" s="3"/>
      <c r="K42" s="3"/>
      <c r="L42" s="3"/>
      <c r="M42" s="3"/>
      <c r="N42" s="3"/>
      <c r="O42" s="3"/>
      <c r="P42" s="3"/>
    </row>
    <row r="43" spans="1:16" ht="15.6" x14ac:dyDescent="0.3">
      <c r="A43" s="3"/>
      <c r="B43" s="3" t="s">
        <v>28</v>
      </c>
      <c r="C43" s="3" t="s">
        <v>64</v>
      </c>
      <c r="D43" s="3"/>
      <c r="E43" s="3"/>
      <c r="F43" s="3"/>
      <c r="G43" s="3"/>
      <c r="H43" s="3"/>
      <c r="I43" s="4"/>
      <c r="J43" s="3"/>
      <c r="K43" s="3"/>
      <c r="L43" s="3"/>
      <c r="M43" s="3"/>
      <c r="N43" s="3"/>
      <c r="O43" s="3"/>
      <c r="P43" s="3"/>
    </row>
    <row r="44" spans="1:16" ht="15.6" x14ac:dyDescent="0.3">
      <c r="C44" s="33"/>
    </row>
    <row r="45" spans="1:16" ht="15.6" x14ac:dyDescent="0.3">
      <c r="B45" s="3" t="s">
        <v>32</v>
      </c>
      <c r="C45" s="33" t="s">
        <v>65</v>
      </c>
    </row>
    <row r="46" spans="1:16" ht="15.6" x14ac:dyDescent="0.3">
      <c r="C46" s="33"/>
    </row>
    <row r="47" spans="1:16" ht="15.6" x14ac:dyDescent="0.3">
      <c r="B47" s="3" t="s">
        <v>33</v>
      </c>
      <c r="C47" s="3" t="s">
        <v>66</v>
      </c>
    </row>
  </sheetData>
  <mergeCells count="2">
    <mergeCell ref="A1:G1"/>
    <mergeCell ref="H7:I7"/>
  </mergeCells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42FC8-3EC2-4A17-A266-DA74EA05253C}">
  <dimension ref="A1:P47"/>
  <sheetViews>
    <sheetView topLeftCell="A22" zoomScale="85" zoomScaleNormal="85" workbookViewId="0">
      <selection activeCell="O25" sqref="O25"/>
    </sheetView>
  </sheetViews>
  <sheetFormatPr defaultRowHeight="14.4" x14ac:dyDescent="0.3"/>
  <cols>
    <col min="1" max="1" width="11.33203125" customWidth="1"/>
    <col min="2" max="2" width="29.33203125" customWidth="1"/>
    <col min="3" max="3" width="22.109375" customWidth="1"/>
    <col min="4" max="4" width="14.88671875" customWidth="1"/>
    <col min="5" max="5" width="16.6640625" customWidth="1"/>
    <col min="6" max="6" width="17.44140625" customWidth="1"/>
    <col min="8" max="8" width="20.44140625" customWidth="1"/>
    <col min="13" max="13" width="10.6640625" customWidth="1"/>
    <col min="15" max="15" width="10.6640625" customWidth="1"/>
  </cols>
  <sheetData>
    <row r="1" spans="1:16" ht="18" x14ac:dyDescent="0.35">
      <c r="A1" s="66" t="s">
        <v>0</v>
      </c>
      <c r="B1" s="66"/>
      <c r="C1" s="66"/>
      <c r="D1" s="66"/>
      <c r="E1" s="66"/>
      <c r="F1" s="66"/>
      <c r="G1" s="66"/>
      <c r="H1" s="1"/>
      <c r="I1" s="2"/>
      <c r="J1" s="1"/>
      <c r="K1" s="1"/>
      <c r="L1" s="1"/>
      <c r="M1" s="1"/>
      <c r="N1" s="1"/>
      <c r="O1" s="1"/>
      <c r="P1" s="1"/>
    </row>
    <row r="2" spans="1:16" ht="15.6" x14ac:dyDescent="0.3">
      <c r="A2" s="3"/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</row>
    <row r="3" spans="1:16" ht="15.6" x14ac:dyDescent="0.3">
      <c r="A3" s="3"/>
      <c r="B3" s="5" t="s">
        <v>1</v>
      </c>
      <c r="C3" s="6" t="s">
        <v>43</v>
      </c>
      <c r="D3" s="7"/>
      <c r="E3" s="3"/>
      <c r="F3" s="5" t="s">
        <v>2</v>
      </c>
      <c r="G3" s="8">
        <v>4355</v>
      </c>
      <c r="H3" s="5" t="s">
        <v>41</v>
      </c>
      <c r="I3" s="36">
        <v>49</v>
      </c>
      <c r="J3" s="3"/>
      <c r="K3" s="3"/>
      <c r="L3" s="3"/>
      <c r="M3" s="3"/>
      <c r="N3" s="3"/>
      <c r="O3" s="3"/>
      <c r="P3" s="3"/>
    </row>
    <row r="4" spans="1:16" ht="15.6" x14ac:dyDescent="0.3">
      <c r="A4" s="3"/>
      <c r="B4" s="5" t="s">
        <v>3</v>
      </c>
      <c r="C4" s="37">
        <v>300155</v>
      </c>
      <c r="D4" s="7"/>
      <c r="E4" s="3"/>
      <c r="F4" s="5" t="s">
        <v>4</v>
      </c>
      <c r="G4" s="8">
        <f>J16+'5-18-22'!G4</f>
        <v>326.25</v>
      </c>
      <c r="H4" s="34" t="s">
        <v>42</v>
      </c>
      <c r="I4" s="4">
        <v>4</v>
      </c>
      <c r="J4" s="3"/>
      <c r="K4" s="3"/>
      <c r="L4" s="3"/>
      <c r="M4" s="3"/>
      <c r="N4" s="3"/>
      <c r="O4" s="3"/>
      <c r="P4" s="3"/>
    </row>
    <row r="5" spans="1:16" ht="15.6" x14ac:dyDescent="0.3">
      <c r="A5" s="3"/>
      <c r="B5" s="5" t="s">
        <v>5</v>
      </c>
      <c r="C5" s="38">
        <v>44700</v>
      </c>
      <c r="D5" s="3"/>
      <c r="E5" s="3"/>
      <c r="F5" s="3"/>
      <c r="G5" s="3"/>
      <c r="H5" s="3"/>
      <c r="I5" s="4"/>
      <c r="J5" s="3"/>
      <c r="K5" s="3"/>
      <c r="L5" s="3"/>
      <c r="M5" s="3"/>
      <c r="N5" s="3"/>
      <c r="O5" s="3"/>
      <c r="P5" s="3"/>
    </row>
    <row r="6" spans="1:16" ht="15.6" x14ac:dyDescent="0.3">
      <c r="A6" s="3"/>
      <c r="B6" s="5"/>
      <c r="C6" s="3"/>
      <c r="D6" s="3"/>
      <c r="E6" s="3"/>
      <c r="F6" s="3"/>
      <c r="G6" s="3"/>
      <c r="H6" s="3"/>
      <c r="I6" s="4"/>
      <c r="J6" s="3"/>
      <c r="K6" s="3"/>
      <c r="L6" s="3"/>
      <c r="M6" s="3"/>
      <c r="N6" s="3"/>
      <c r="O6" s="3"/>
      <c r="P6" s="3"/>
    </row>
    <row r="7" spans="1:16" ht="15.6" x14ac:dyDescent="0.3">
      <c r="A7" s="10" t="s">
        <v>6</v>
      </c>
      <c r="B7" s="11"/>
      <c r="C7" s="12" t="s">
        <v>7</v>
      </c>
      <c r="D7" s="3"/>
      <c r="E7" s="12" t="s">
        <v>8</v>
      </c>
      <c r="F7" s="12" t="s">
        <v>34</v>
      </c>
      <c r="G7" s="3"/>
      <c r="H7" s="67" t="s">
        <v>7</v>
      </c>
      <c r="I7" s="67"/>
      <c r="J7" s="12" t="s">
        <v>8</v>
      </c>
      <c r="K7" s="3"/>
      <c r="L7" s="3"/>
      <c r="M7" s="3"/>
      <c r="N7" s="3"/>
      <c r="O7" s="3"/>
      <c r="P7" s="3"/>
    </row>
    <row r="8" spans="1:16" ht="15.6" x14ac:dyDescent="0.3">
      <c r="A8" s="13">
        <v>1</v>
      </c>
      <c r="B8" s="5" t="s">
        <v>9</v>
      </c>
      <c r="C8" s="14" t="s">
        <v>35</v>
      </c>
      <c r="D8" s="15"/>
      <c r="E8" s="35">
        <v>9.5</v>
      </c>
      <c r="F8" s="16">
        <v>66</v>
      </c>
      <c r="G8" s="11">
        <v>9</v>
      </c>
      <c r="H8" s="14" t="s">
        <v>40</v>
      </c>
      <c r="I8" s="8"/>
      <c r="J8" s="39">
        <v>9.5</v>
      </c>
      <c r="K8" s="3"/>
      <c r="L8" s="3"/>
      <c r="M8" s="3"/>
      <c r="N8" s="3"/>
      <c r="O8" s="3"/>
      <c r="P8" s="3"/>
    </row>
    <row r="9" spans="1:16" ht="15.6" x14ac:dyDescent="0.3">
      <c r="A9" s="13">
        <v>2</v>
      </c>
      <c r="B9" s="5" t="s">
        <v>10</v>
      </c>
      <c r="C9" s="14" t="s">
        <v>37</v>
      </c>
      <c r="D9" s="8"/>
      <c r="E9" s="35">
        <v>9.5</v>
      </c>
      <c r="F9" s="16"/>
      <c r="G9" s="11">
        <v>10</v>
      </c>
      <c r="H9" s="14"/>
      <c r="I9" s="8"/>
      <c r="J9" s="39"/>
      <c r="K9" s="3"/>
      <c r="L9" s="3"/>
      <c r="M9" s="3"/>
      <c r="N9" s="3"/>
      <c r="O9" s="3"/>
      <c r="P9" s="3"/>
    </row>
    <row r="10" spans="1:16" ht="15.6" x14ac:dyDescent="0.3">
      <c r="A10" s="13">
        <v>3</v>
      </c>
      <c r="B10" s="5" t="s">
        <v>11</v>
      </c>
      <c r="C10" s="14" t="s">
        <v>36</v>
      </c>
      <c r="D10" s="8"/>
      <c r="E10" s="35">
        <v>9.5</v>
      </c>
      <c r="F10" s="16">
        <v>78</v>
      </c>
      <c r="G10" s="11">
        <v>11</v>
      </c>
      <c r="H10" s="3"/>
      <c r="I10" s="8"/>
      <c r="J10" s="39"/>
      <c r="K10" s="3"/>
      <c r="L10" s="3"/>
      <c r="M10" s="3"/>
      <c r="N10" s="3"/>
      <c r="O10" s="3"/>
      <c r="P10" s="3"/>
    </row>
    <row r="11" spans="1:16" ht="15.6" x14ac:dyDescent="0.3">
      <c r="A11" s="13">
        <v>4</v>
      </c>
      <c r="B11" s="5" t="s">
        <v>12</v>
      </c>
      <c r="C11" s="14" t="s">
        <v>29</v>
      </c>
      <c r="D11" s="8"/>
      <c r="E11" s="35">
        <v>9.5</v>
      </c>
      <c r="F11" s="16"/>
      <c r="G11" s="11">
        <v>12</v>
      </c>
      <c r="H11" s="3"/>
      <c r="I11" s="8"/>
      <c r="J11" s="39"/>
      <c r="K11" s="3"/>
      <c r="L11" s="3"/>
      <c r="M11" s="3"/>
      <c r="N11" s="3"/>
      <c r="O11" s="3"/>
      <c r="P11" s="3"/>
    </row>
    <row r="12" spans="1:16" ht="15.6" x14ac:dyDescent="0.3">
      <c r="A12" s="13">
        <v>5</v>
      </c>
      <c r="B12" s="3"/>
      <c r="C12" s="31" t="s">
        <v>30</v>
      </c>
      <c r="D12" s="8"/>
      <c r="E12" s="35">
        <v>9.5</v>
      </c>
      <c r="F12" s="16"/>
      <c r="G12" s="11">
        <v>13</v>
      </c>
      <c r="H12" s="3"/>
      <c r="I12" s="8"/>
      <c r="J12" s="39"/>
      <c r="K12" s="3"/>
      <c r="L12" s="3"/>
      <c r="M12" s="3"/>
      <c r="N12" s="3"/>
      <c r="O12" s="3"/>
      <c r="P12" s="3"/>
    </row>
    <row r="13" spans="1:16" ht="15.6" x14ac:dyDescent="0.3">
      <c r="A13" s="13">
        <v>6</v>
      </c>
      <c r="B13" s="3"/>
      <c r="C13" s="14" t="s">
        <v>31</v>
      </c>
      <c r="D13" s="8"/>
      <c r="E13" s="35">
        <v>9.5</v>
      </c>
      <c r="F13" s="16">
        <v>74</v>
      </c>
      <c r="G13" s="11">
        <v>14</v>
      </c>
      <c r="H13" s="18"/>
      <c r="I13" s="8"/>
      <c r="J13" s="39"/>
      <c r="K13" s="3"/>
      <c r="L13" s="3"/>
      <c r="M13" s="3"/>
      <c r="N13" s="3"/>
      <c r="O13" s="3"/>
      <c r="P13" s="3"/>
    </row>
    <row r="14" spans="1:16" ht="15.6" x14ac:dyDescent="0.3">
      <c r="A14" s="13">
        <v>7</v>
      </c>
      <c r="B14" s="5" t="s">
        <v>52</v>
      </c>
      <c r="C14" s="14" t="s">
        <v>39</v>
      </c>
      <c r="D14" s="8"/>
      <c r="E14" s="35">
        <v>9.5</v>
      </c>
      <c r="F14" s="16"/>
      <c r="G14" s="11">
        <v>15</v>
      </c>
      <c r="H14" s="3"/>
      <c r="I14" s="8"/>
      <c r="J14" s="39"/>
      <c r="K14" s="3"/>
      <c r="L14" s="3"/>
      <c r="M14" s="3"/>
      <c r="N14" s="3"/>
      <c r="O14" s="3"/>
      <c r="P14" s="3"/>
    </row>
    <row r="15" spans="1:16" ht="15.6" x14ac:dyDescent="0.3">
      <c r="A15" s="13">
        <v>8</v>
      </c>
      <c r="B15" s="3"/>
      <c r="C15" s="14" t="s">
        <v>38</v>
      </c>
      <c r="D15" s="8"/>
      <c r="E15" s="35">
        <v>9.5</v>
      </c>
      <c r="F15" s="16"/>
      <c r="G15" s="11">
        <v>16</v>
      </c>
      <c r="H15" s="3"/>
      <c r="I15" s="8"/>
      <c r="J15" s="39"/>
      <c r="K15" s="3"/>
      <c r="L15" s="3"/>
      <c r="M15" s="3"/>
      <c r="N15" s="3"/>
      <c r="O15" s="3"/>
      <c r="P15" s="3"/>
    </row>
    <row r="16" spans="1:16" ht="15.6" x14ac:dyDescent="0.3">
      <c r="A16" s="3"/>
      <c r="B16" s="3"/>
      <c r="C16" s="3"/>
      <c r="D16" s="3"/>
      <c r="E16" s="3"/>
      <c r="F16" s="3"/>
      <c r="G16" s="13"/>
      <c r="H16" s="7" t="s">
        <v>13</v>
      </c>
      <c r="I16" s="3"/>
      <c r="J16" s="8">
        <f>SUM(E8:E15)+SUM(J8:J15)</f>
        <v>85.5</v>
      </c>
      <c r="K16" s="3"/>
      <c r="L16" s="3"/>
      <c r="M16" s="3"/>
      <c r="N16" s="3"/>
      <c r="O16" s="3"/>
      <c r="P16" s="3"/>
    </row>
    <row r="17" spans="1:16" ht="15.6" x14ac:dyDescent="0.3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  <c r="L17" s="3"/>
      <c r="M17" s="3"/>
      <c r="N17" s="3"/>
      <c r="O17" s="3"/>
      <c r="P17" s="3"/>
    </row>
    <row r="18" spans="1:16" ht="93.6" x14ac:dyDescent="0.3">
      <c r="A18" s="19"/>
      <c r="B18" s="20" t="s">
        <v>14</v>
      </c>
      <c r="C18" s="21" t="s">
        <v>15</v>
      </c>
      <c r="D18" s="22" t="s">
        <v>16</v>
      </c>
      <c r="E18" s="22" t="s">
        <v>17</v>
      </c>
      <c r="F18" s="22" t="s">
        <v>18</v>
      </c>
      <c r="G18" s="22" t="s">
        <v>19</v>
      </c>
      <c r="H18" s="22" t="s">
        <v>18</v>
      </c>
      <c r="I18" s="22" t="s">
        <v>19</v>
      </c>
      <c r="J18" s="22" t="s">
        <v>20</v>
      </c>
      <c r="K18" s="23" t="s">
        <v>21</v>
      </c>
      <c r="L18" s="24"/>
      <c r="M18" s="23" t="s">
        <v>22</v>
      </c>
      <c r="N18" s="23" t="s">
        <v>23</v>
      </c>
      <c r="O18" s="23" t="s">
        <v>24</v>
      </c>
      <c r="P18" s="23" t="s">
        <v>25</v>
      </c>
    </row>
    <row r="19" spans="1:16" ht="15.6" x14ac:dyDescent="0.3">
      <c r="A19" s="19"/>
      <c r="B19" s="19"/>
      <c r="C19" s="24"/>
      <c r="D19" s="24"/>
      <c r="E19" s="24"/>
      <c r="F19" s="24"/>
      <c r="G19" s="24"/>
      <c r="H19" s="24"/>
      <c r="I19" s="24"/>
      <c r="J19" s="24"/>
      <c r="K19" s="25"/>
      <c r="L19" s="24"/>
      <c r="M19" s="3"/>
      <c r="N19" s="3"/>
      <c r="O19" s="3"/>
      <c r="P19" s="3"/>
    </row>
    <row r="20" spans="1:16" ht="15.6" x14ac:dyDescent="0.3">
      <c r="A20" s="3"/>
      <c r="B20" s="8" t="s">
        <v>26</v>
      </c>
      <c r="C20" s="8">
        <v>1</v>
      </c>
      <c r="D20" s="8">
        <v>1</v>
      </c>
      <c r="E20" s="8"/>
      <c r="F20" s="8"/>
      <c r="G20" s="35">
        <v>0</v>
      </c>
      <c r="H20" s="8"/>
      <c r="I20" s="16"/>
      <c r="J20" s="35">
        <f>F20*G20+H20*I20</f>
        <v>0</v>
      </c>
      <c r="K20" s="16" t="e">
        <f>E20/(J20)</f>
        <v>#DIV/0!</v>
      </c>
      <c r="L20" s="3"/>
      <c r="M20" s="26">
        <v>0</v>
      </c>
      <c r="N20" s="27">
        <f>M20/C20</f>
        <v>0</v>
      </c>
      <c r="O20" s="35">
        <f>J20+'5-18-22'!O20</f>
        <v>108</v>
      </c>
      <c r="P20" s="26">
        <f>M20/O20</f>
        <v>0</v>
      </c>
    </row>
    <row r="21" spans="1:16" ht="15.6" x14ac:dyDescent="0.3">
      <c r="A21" s="3"/>
      <c r="B21" s="3"/>
      <c r="C21" s="3"/>
      <c r="D21" s="3"/>
      <c r="E21" s="3"/>
      <c r="F21" s="3"/>
      <c r="G21" s="40"/>
      <c r="H21" s="3"/>
      <c r="I21" s="28"/>
      <c r="J21" s="40"/>
      <c r="K21" s="28"/>
      <c r="L21" s="3"/>
      <c r="M21" s="29"/>
      <c r="N21" s="3"/>
      <c r="O21" s="3"/>
      <c r="P21" s="3"/>
    </row>
    <row r="22" spans="1:16" ht="15.6" x14ac:dyDescent="0.3">
      <c r="A22" s="3"/>
      <c r="B22" s="8" t="s">
        <v>53</v>
      </c>
      <c r="C22" s="8">
        <v>125400</v>
      </c>
      <c r="D22" s="41"/>
      <c r="E22" s="41">
        <v>17486</v>
      </c>
      <c r="F22" s="8">
        <v>9</v>
      </c>
      <c r="G22" s="35">
        <v>9.5</v>
      </c>
      <c r="H22" s="8"/>
      <c r="I22" s="16"/>
      <c r="J22" s="35">
        <f>F22*G22+H22*I22</f>
        <v>85.5</v>
      </c>
      <c r="K22" s="16">
        <f>E22/(J22)</f>
        <v>204.51461988304092</v>
      </c>
      <c r="L22" s="3"/>
      <c r="M22" s="26">
        <f>E22+'5-18-22'!M22</f>
        <v>52458</v>
      </c>
      <c r="N22" s="27">
        <f>M22/C22</f>
        <v>0.41832535885167466</v>
      </c>
      <c r="O22" s="35">
        <f>J22+'5-18-22'!O22</f>
        <v>218.25</v>
      </c>
      <c r="P22" s="26">
        <f>M22/O22</f>
        <v>240.3573883161512</v>
      </c>
    </row>
    <row r="23" spans="1:16" ht="15.6" x14ac:dyDescent="0.3">
      <c r="A23" s="3"/>
      <c r="B23" s="3"/>
      <c r="C23" s="3"/>
      <c r="D23" s="3"/>
      <c r="E23" s="3"/>
      <c r="F23" s="3"/>
      <c r="G23" s="40"/>
      <c r="H23" s="3"/>
      <c r="I23" s="28"/>
      <c r="J23" s="40"/>
      <c r="K23" s="28"/>
      <c r="L23" s="3"/>
      <c r="M23" s="29"/>
      <c r="N23" s="3"/>
      <c r="O23" s="36"/>
      <c r="P23" s="29"/>
    </row>
    <row r="24" spans="1:16" ht="15.6" x14ac:dyDescent="0.3">
      <c r="A24" s="3"/>
      <c r="B24" s="8" t="s">
        <v>54</v>
      </c>
      <c r="C24" s="8">
        <v>125400</v>
      </c>
      <c r="D24" s="8"/>
      <c r="E24" s="8"/>
      <c r="F24" s="8"/>
      <c r="G24" s="35"/>
      <c r="H24" s="8"/>
      <c r="I24" s="16"/>
      <c r="J24" s="35">
        <f>F24*G24+H24*I24</f>
        <v>0</v>
      </c>
      <c r="K24" s="16" t="e">
        <f>E24/(J24)</f>
        <v>#DIV/0!</v>
      </c>
      <c r="L24" s="3"/>
      <c r="M24" s="26">
        <v>0</v>
      </c>
      <c r="N24" s="27">
        <f>M24/C24</f>
        <v>0</v>
      </c>
      <c r="O24" s="35">
        <f>J24</f>
        <v>0</v>
      </c>
      <c r="P24" s="26" t="e">
        <f>M24/O24</f>
        <v>#DIV/0!</v>
      </c>
    </row>
    <row r="25" spans="1:16" ht="15.6" x14ac:dyDescent="0.3">
      <c r="A25" s="3"/>
      <c r="B25" s="3"/>
      <c r="C25" s="3"/>
      <c r="D25" s="3"/>
      <c r="E25" s="3"/>
      <c r="F25" s="3"/>
      <c r="G25" s="36"/>
      <c r="H25" s="3"/>
      <c r="I25" s="4"/>
      <c r="J25" s="36"/>
      <c r="K25" s="4"/>
      <c r="L25" s="3"/>
      <c r="M25" s="29"/>
      <c r="N25" s="3"/>
      <c r="O25" s="3"/>
      <c r="P25" s="3"/>
    </row>
    <row r="26" spans="1:16" ht="15.6" x14ac:dyDescent="0.3">
      <c r="A26" s="3"/>
      <c r="B26" s="8" t="s">
        <v>44</v>
      </c>
      <c r="C26" s="8">
        <v>3040</v>
      </c>
      <c r="D26" s="8"/>
      <c r="E26" s="8"/>
      <c r="F26" s="8"/>
      <c r="G26" s="35"/>
      <c r="H26" s="8"/>
      <c r="I26" s="16"/>
      <c r="J26" s="35">
        <f>F26*G26+H26*I26</f>
        <v>0</v>
      </c>
      <c r="K26" s="16" t="e">
        <f>E26/(J26)</f>
        <v>#DIV/0!</v>
      </c>
      <c r="L26" s="3"/>
      <c r="M26" s="26">
        <v>0</v>
      </c>
      <c r="N26" s="27">
        <f>M26/C26</f>
        <v>0</v>
      </c>
      <c r="O26" s="35">
        <f>J26</f>
        <v>0</v>
      </c>
      <c r="P26" s="26" t="e">
        <f>M26/O26</f>
        <v>#DIV/0!</v>
      </c>
    </row>
    <row r="27" spans="1:16" ht="15.6" x14ac:dyDescent="0.3">
      <c r="A27" s="3"/>
      <c r="B27" s="3"/>
      <c r="C27" s="3"/>
      <c r="D27" s="3"/>
      <c r="E27" s="3"/>
      <c r="F27" s="3"/>
      <c r="G27" s="36"/>
      <c r="H27" s="3"/>
      <c r="I27" s="4"/>
      <c r="J27" s="36"/>
      <c r="K27" s="4"/>
      <c r="L27" s="3"/>
      <c r="M27" s="29"/>
      <c r="N27" s="3"/>
      <c r="O27" s="3"/>
      <c r="P27" s="3"/>
    </row>
    <row r="28" spans="1:16" ht="15.6" x14ac:dyDescent="0.3">
      <c r="A28" s="3"/>
      <c r="B28" s="8" t="s">
        <v>45</v>
      </c>
      <c r="C28" s="8">
        <v>3040</v>
      </c>
      <c r="D28" s="8"/>
      <c r="E28" s="8"/>
      <c r="F28" s="8"/>
      <c r="G28" s="35"/>
      <c r="H28" s="8"/>
      <c r="I28" s="16"/>
      <c r="J28" s="35">
        <f>F28*G28+H28*I28</f>
        <v>0</v>
      </c>
      <c r="K28" s="16" t="e">
        <f>E28/(J28)</f>
        <v>#DIV/0!</v>
      </c>
      <c r="L28" s="3"/>
      <c r="M28" s="26">
        <v>0</v>
      </c>
      <c r="N28" s="27">
        <f>M28/C28</f>
        <v>0</v>
      </c>
      <c r="O28" s="35">
        <f>J28</f>
        <v>0</v>
      </c>
      <c r="P28" s="26" t="e">
        <f>M28/O28</f>
        <v>#DIV/0!</v>
      </c>
    </row>
    <row r="29" spans="1:16" ht="15.6" x14ac:dyDescent="0.3">
      <c r="A29" s="3"/>
      <c r="B29" s="3"/>
      <c r="C29" s="3"/>
      <c r="D29" s="3"/>
      <c r="E29" s="3"/>
      <c r="F29" s="3"/>
      <c r="G29" s="36"/>
      <c r="H29" s="3"/>
      <c r="I29" s="4"/>
      <c r="J29" s="36"/>
      <c r="K29" s="4"/>
      <c r="L29" s="3"/>
      <c r="M29" s="29"/>
      <c r="N29" s="3"/>
      <c r="O29" s="3"/>
      <c r="P29" s="3"/>
    </row>
    <row r="30" spans="1:16" ht="15.6" x14ac:dyDescent="0.3">
      <c r="A30" s="3"/>
      <c r="B30" s="8" t="s">
        <v>47</v>
      </c>
      <c r="C30" s="8">
        <v>125400</v>
      </c>
      <c r="D30" s="8"/>
      <c r="E30" s="8"/>
      <c r="F30" s="8"/>
      <c r="G30" s="35"/>
      <c r="H30" s="8"/>
      <c r="I30" s="16"/>
      <c r="J30" s="35">
        <f>F30*G30+H30*I30</f>
        <v>0</v>
      </c>
      <c r="K30" s="16" t="e">
        <f>E30/(J30)</f>
        <v>#DIV/0!</v>
      </c>
      <c r="L30" s="3"/>
      <c r="M30" s="26">
        <v>0</v>
      </c>
      <c r="N30" s="27">
        <f>M30/C30</f>
        <v>0</v>
      </c>
      <c r="O30" s="35">
        <f>J30</f>
        <v>0</v>
      </c>
      <c r="P30" s="26" t="e">
        <f>M30/O30</f>
        <v>#DIV/0!</v>
      </c>
    </row>
    <row r="31" spans="1:16" ht="15.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7"/>
      <c r="O31" s="3"/>
      <c r="P31" s="3"/>
    </row>
    <row r="32" spans="1:16" ht="15.6" x14ac:dyDescent="0.3">
      <c r="A32" s="3"/>
      <c r="B32" s="8" t="s">
        <v>46</v>
      </c>
      <c r="C32" s="8">
        <v>324</v>
      </c>
      <c r="D32" s="8"/>
      <c r="E32" s="8"/>
      <c r="F32" s="8"/>
      <c r="G32" s="35"/>
      <c r="H32" s="8"/>
      <c r="I32" s="16"/>
      <c r="J32" s="35">
        <f>F32*G32+H32*I32</f>
        <v>0</v>
      </c>
      <c r="K32" s="16" t="e">
        <f>E32/(J32)</f>
        <v>#DIV/0!</v>
      </c>
      <c r="L32" s="3"/>
      <c r="M32" s="26">
        <v>0</v>
      </c>
      <c r="N32" s="27">
        <f>M32/C32</f>
        <v>0</v>
      </c>
      <c r="O32" s="35">
        <f>J32</f>
        <v>0</v>
      </c>
      <c r="P32" s="26" t="e">
        <f>M32/O32</f>
        <v>#DIV/0!</v>
      </c>
    </row>
    <row r="33" spans="1:16" ht="15.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7"/>
      <c r="O33" s="3"/>
      <c r="P33" s="3"/>
    </row>
    <row r="34" spans="1:16" ht="15.6" x14ac:dyDescent="0.3">
      <c r="A34" s="3"/>
      <c r="B34" s="8" t="s">
        <v>48</v>
      </c>
      <c r="C34" s="8">
        <v>115000</v>
      </c>
      <c r="D34" s="8"/>
      <c r="E34" s="8"/>
      <c r="F34" s="8"/>
      <c r="G34" s="35"/>
      <c r="H34" s="8"/>
      <c r="I34" s="16"/>
      <c r="J34" s="35">
        <f>F34*G34+H34*I34</f>
        <v>0</v>
      </c>
      <c r="K34" s="16" t="e">
        <f>E34/(J34)</f>
        <v>#DIV/0!</v>
      </c>
      <c r="L34" s="3"/>
      <c r="M34" s="26">
        <v>0</v>
      </c>
      <c r="N34" s="27">
        <f>M34/C34</f>
        <v>0</v>
      </c>
      <c r="O34" s="35">
        <f>J34</f>
        <v>0</v>
      </c>
      <c r="P34" s="26" t="e">
        <f>M34/O34</f>
        <v>#DIV/0!</v>
      </c>
    </row>
    <row r="35" spans="1:16" ht="15.6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27"/>
      <c r="O35" s="3"/>
      <c r="P35" s="3"/>
    </row>
    <row r="36" spans="1:16" ht="15.6" x14ac:dyDescent="0.3">
      <c r="A36" s="3"/>
      <c r="B36" s="8" t="s">
        <v>49</v>
      </c>
      <c r="C36" s="8">
        <v>8</v>
      </c>
      <c r="D36" s="8"/>
      <c r="E36" s="8"/>
      <c r="F36" s="8"/>
      <c r="G36" s="35"/>
      <c r="H36" s="8"/>
      <c r="I36" s="16"/>
      <c r="J36" s="35">
        <f>F36*G36+H36*I36</f>
        <v>0</v>
      </c>
      <c r="K36" s="16" t="e">
        <f>E36/(J36)</f>
        <v>#DIV/0!</v>
      </c>
      <c r="L36" s="3"/>
      <c r="M36" s="26">
        <v>0</v>
      </c>
      <c r="N36" s="27">
        <f>M36/C36</f>
        <v>0</v>
      </c>
      <c r="O36" s="35">
        <f>J36</f>
        <v>0</v>
      </c>
      <c r="P36" s="26" t="e">
        <f>M36/O36</f>
        <v>#DIV/0!</v>
      </c>
    </row>
    <row r="37" spans="1:16" ht="15.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27"/>
      <c r="O37" s="3"/>
      <c r="P37" s="3"/>
    </row>
    <row r="38" spans="1:16" ht="15.6" x14ac:dyDescent="0.3">
      <c r="A38" s="3"/>
      <c r="B38" s="8" t="s">
        <v>50</v>
      </c>
      <c r="C38" s="8">
        <f>2760+480</f>
        <v>3240</v>
      </c>
      <c r="D38" s="8"/>
      <c r="E38" s="8"/>
      <c r="F38" s="8"/>
      <c r="G38" s="35"/>
      <c r="H38" s="8"/>
      <c r="I38" s="16"/>
      <c r="J38" s="35">
        <f>F38*G38+H38*I38</f>
        <v>0</v>
      </c>
      <c r="K38" s="16" t="e">
        <f>E38/(J38)</f>
        <v>#DIV/0!</v>
      </c>
      <c r="L38" s="3"/>
      <c r="M38" s="26">
        <v>0</v>
      </c>
      <c r="N38" s="27">
        <f>M38/C38</f>
        <v>0</v>
      </c>
      <c r="O38" s="35">
        <f>J38</f>
        <v>0</v>
      </c>
      <c r="P38" s="26" t="e">
        <f>M38/O38</f>
        <v>#DIV/0!</v>
      </c>
    </row>
    <row r="39" spans="1:16" ht="15.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7"/>
      <c r="O39" s="3"/>
      <c r="P39" s="3"/>
    </row>
    <row r="40" spans="1:16" ht="15.6" x14ac:dyDescent="0.3">
      <c r="A40" s="3"/>
      <c r="B40" s="8" t="s">
        <v>51</v>
      </c>
      <c r="C40" s="8">
        <v>25</v>
      </c>
      <c r="D40" s="8"/>
      <c r="E40" s="8"/>
      <c r="F40" s="8"/>
      <c r="G40" s="35"/>
      <c r="H40" s="8"/>
      <c r="I40" s="16"/>
      <c r="J40" s="35">
        <f>F40*G40+H40*I40</f>
        <v>0</v>
      </c>
      <c r="K40" s="16" t="e">
        <f>E40/(J40)</f>
        <v>#DIV/0!</v>
      </c>
      <c r="L40" s="3"/>
      <c r="M40" s="26">
        <v>0</v>
      </c>
      <c r="N40" s="27">
        <f>M40/C40</f>
        <v>0</v>
      </c>
      <c r="O40" s="35">
        <f>J40</f>
        <v>0</v>
      </c>
      <c r="P40" s="26" t="e">
        <f>M40/O40</f>
        <v>#DIV/0!</v>
      </c>
    </row>
    <row r="41" spans="1:16" ht="15.6" x14ac:dyDescent="0.3">
      <c r="A41" s="3"/>
      <c r="B41" s="3" t="s">
        <v>27</v>
      </c>
      <c r="C41" s="3"/>
      <c r="D41" s="3"/>
      <c r="E41" s="3"/>
      <c r="F41" s="3"/>
      <c r="G41" s="3"/>
      <c r="H41" s="30"/>
      <c r="I41" s="4"/>
      <c r="J41" s="3">
        <f>J20+J22+J24+J26+J28+J30+J32+J34+J36+J38+J40</f>
        <v>85.5</v>
      </c>
      <c r="K41" s="3"/>
      <c r="L41" s="3"/>
      <c r="M41" s="3"/>
      <c r="N41" s="3"/>
      <c r="O41" s="3">
        <f>O20+O22+O24+O26+O28+O30+O32+O34+O36+O38+O40</f>
        <v>326.25</v>
      </c>
      <c r="P41" s="3"/>
    </row>
    <row r="42" spans="1:16" ht="15.6" x14ac:dyDescent="0.3">
      <c r="A42" s="3"/>
      <c r="B42" s="3"/>
      <c r="C42" s="3"/>
      <c r="D42" s="3"/>
      <c r="E42" s="3"/>
      <c r="F42" s="3"/>
      <c r="G42" s="3"/>
      <c r="H42" s="3"/>
      <c r="I42" s="4"/>
      <c r="J42" s="3"/>
      <c r="K42" s="3"/>
      <c r="L42" s="3"/>
      <c r="M42" s="3"/>
      <c r="N42" s="3"/>
      <c r="O42" s="3"/>
      <c r="P42" s="3"/>
    </row>
    <row r="43" spans="1:16" ht="15.6" x14ac:dyDescent="0.3">
      <c r="A43" s="3"/>
      <c r="B43" s="3" t="s">
        <v>28</v>
      </c>
      <c r="C43" s="3" t="s">
        <v>61</v>
      </c>
      <c r="D43" s="3"/>
      <c r="E43" s="3"/>
      <c r="F43" s="3"/>
      <c r="G43" s="3"/>
      <c r="H43" s="3"/>
      <c r="I43" s="4"/>
      <c r="J43" s="3"/>
      <c r="K43" s="3"/>
      <c r="L43" s="3"/>
      <c r="M43" s="3"/>
      <c r="N43" s="3"/>
      <c r="O43" s="3"/>
      <c r="P43" s="3"/>
    </row>
    <row r="44" spans="1:16" ht="15.6" x14ac:dyDescent="0.3">
      <c r="C44" s="33"/>
    </row>
    <row r="45" spans="1:16" ht="15.6" x14ac:dyDescent="0.3">
      <c r="B45" s="3" t="s">
        <v>32</v>
      </c>
      <c r="C45" s="33" t="s">
        <v>62</v>
      </c>
    </row>
    <row r="46" spans="1:16" ht="15.6" x14ac:dyDescent="0.3">
      <c r="C46" s="33"/>
    </row>
    <row r="47" spans="1:16" ht="15.6" x14ac:dyDescent="0.3">
      <c r="B47" s="3" t="s">
        <v>33</v>
      </c>
      <c r="C47" s="3" t="s">
        <v>63</v>
      </c>
    </row>
  </sheetData>
  <mergeCells count="2">
    <mergeCell ref="A1:G1"/>
    <mergeCell ref="H7:I7"/>
  </mergeCells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78743-A0E0-4D0F-8DF7-FD4EFCA0C6D6}">
  <dimension ref="A1:P47"/>
  <sheetViews>
    <sheetView topLeftCell="A22" zoomScale="85" zoomScaleNormal="85" workbookViewId="0">
      <selection activeCell="O20" sqref="O20"/>
    </sheetView>
  </sheetViews>
  <sheetFormatPr defaultRowHeight="14.4" x14ac:dyDescent="0.3"/>
  <cols>
    <col min="1" max="1" width="11.33203125" customWidth="1"/>
    <col min="2" max="2" width="29.33203125" customWidth="1"/>
    <col min="3" max="3" width="22.109375" customWidth="1"/>
    <col min="4" max="4" width="14.88671875" customWidth="1"/>
    <col min="5" max="5" width="16.6640625" customWidth="1"/>
    <col min="6" max="6" width="17.44140625" customWidth="1"/>
    <col min="8" max="8" width="19.44140625" customWidth="1"/>
    <col min="13" max="13" width="10.6640625" customWidth="1"/>
    <col min="15" max="15" width="10.6640625" customWidth="1"/>
  </cols>
  <sheetData>
    <row r="1" spans="1:16" ht="18" x14ac:dyDescent="0.35">
      <c r="A1" s="66" t="s">
        <v>0</v>
      </c>
      <c r="B1" s="66"/>
      <c r="C1" s="66"/>
      <c r="D1" s="66"/>
      <c r="E1" s="66"/>
      <c r="F1" s="66"/>
      <c r="G1" s="66"/>
      <c r="H1" s="1"/>
      <c r="I1" s="2"/>
      <c r="J1" s="1"/>
      <c r="K1" s="1"/>
      <c r="L1" s="1"/>
      <c r="M1" s="1"/>
      <c r="N1" s="1"/>
      <c r="O1" s="1"/>
      <c r="P1" s="1"/>
    </row>
    <row r="2" spans="1:16" ht="15.6" x14ac:dyDescent="0.3">
      <c r="A2" s="3"/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</row>
    <row r="3" spans="1:16" ht="15.6" x14ac:dyDescent="0.3">
      <c r="A3" s="3"/>
      <c r="B3" s="5" t="s">
        <v>1</v>
      </c>
      <c r="C3" s="6" t="s">
        <v>43</v>
      </c>
      <c r="D3" s="7"/>
      <c r="E3" s="3"/>
      <c r="F3" s="5" t="s">
        <v>2</v>
      </c>
      <c r="G3" s="8">
        <v>4355</v>
      </c>
      <c r="H3" s="5" t="s">
        <v>41</v>
      </c>
      <c r="I3" s="36">
        <v>49</v>
      </c>
      <c r="J3" s="3"/>
      <c r="K3" s="3"/>
      <c r="L3" s="3"/>
      <c r="M3" s="3"/>
      <c r="N3" s="3"/>
      <c r="O3" s="3"/>
      <c r="P3" s="3"/>
    </row>
    <row r="4" spans="1:16" ht="15.6" x14ac:dyDescent="0.3">
      <c r="A4" s="3"/>
      <c r="B4" s="5" t="s">
        <v>3</v>
      </c>
      <c r="C4" s="37">
        <v>300155</v>
      </c>
      <c r="D4" s="7"/>
      <c r="E4" s="3"/>
      <c r="F4" s="5" t="s">
        <v>4</v>
      </c>
      <c r="G4" s="8">
        <f>J16+'5-17-22'!G4</f>
        <v>240.75</v>
      </c>
      <c r="H4" s="34" t="s">
        <v>42</v>
      </c>
      <c r="I4" s="4">
        <v>3</v>
      </c>
      <c r="J4" s="3"/>
      <c r="K4" s="3"/>
      <c r="L4" s="3"/>
      <c r="M4" s="3"/>
      <c r="N4" s="3"/>
      <c r="O4" s="3"/>
      <c r="P4" s="3"/>
    </row>
    <row r="5" spans="1:16" ht="15.6" x14ac:dyDescent="0.3">
      <c r="A5" s="3"/>
      <c r="B5" s="5" t="s">
        <v>5</v>
      </c>
      <c r="C5" s="38">
        <v>44699</v>
      </c>
      <c r="D5" s="3"/>
      <c r="E5" s="3"/>
      <c r="F5" s="3"/>
      <c r="G5" s="3"/>
      <c r="H5" s="3"/>
      <c r="I5" s="4"/>
      <c r="J5" s="3"/>
      <c r="K5" s="3"/>
      <c r="L5" s="3"/>
      <c r="M5" s="3"/>
      <c r="N5" s="3"/>
      <c r="O5" s="3"/>
      <c r="P5" s="3"/>
    </row>
    <row r="6" spans="1:16" ht="15.6" x14ac:dyDescent="0.3">
      <c r="A6" s="3"/>
      <c r="B6" s="5"/>
      <c r="C6" s="3"/>
      <c r="D6" s="3"/>
      <c r="E6" s="3"/>
      <c r="F6" s="3"/>
      <c r="G6" s="3"/>
      <c r="H6" s="3"/>
      <c r="I6" s="4"/>
      <c r="J6" s="3"/>
      <c r="K6" s="3"/>
      <c r="L6" s="3"/>
      <c r="M6" s="3"/>
      <c r="N6" s="3"/>
      <c r="O6" s="3"/>
      <c r="P6" s="3"/>
    </row>
    <row r="7" spans="1:16" ht="15.6" x14ac:dyDescent="0.3">
      <c r="A7" s="10" t="s">
        <v>6</v>
      </c>
      <c r="B7" s="11"/>
      <c r="C7" s="12" t="s">
        <v>7</v>
      </c>
      <c r="D7" s="3"/>
      <c r="E7" s="12" t="s">
        <v>8</v>
      </c>
      <c r="F7" s="12" t="s">
        <v>34</v>
      </c>
      <c r="G7" s="3"/>
      <c r="H7" s="67" t="s">
        <v>7</v>
      </c>
      <c r="I7" s="67"/>
      <c r="J7" s="12" t="s">
        <v>8</v>
      </c>
      <c r="K7" s="3"/>
      <c r="L7" s="3"/>
      <c r="M7" s="3"/>
      <c r="N7" s="3"/>
      <c r="O7" s="3"/>
      <c r="P7" s="3"/>
    </row>
    <row r="8" spans="1:16" ht="15.6" x14ac:dyDescent="0.3">
      <c r="A8" s="13">
        <v>1</v>
      </c>
      <c r="B8" s="5" t="s">
        <v>9</v>
      </c>
      <c r="C8" s="14" t="s">
        <v>35</v>
      </c>
      <c r="D8" s="15"/>
      <c r="E8" s="35">
        <v>9.25</v>
      </c>
      <c r="F8" s="16">
        <v>66</v>
      </c>
      <c r="G8" s="11">
        <v>9</v>
      </c>
      <c r="H8" s="14" t="s">
        <v>40</v>
      </c>
      <c r="I8" s="8"/>
      <c r="J8" s="39">
        <v>9.25</v>
      </c>
      <c r="K8" s="3"/>
      <c r="L8" s="3"/>
      <c r="M8" s="3"/>
      <c r="N8" s="3"/>
      <c r="O8" s="3"/>
      <c r="P8" s="3"/>
    </row>
    <row r="9" spans="1:16" ht="15.6" x14ac:dyDescent="0.3">
      <c r="A9" s="13">
        <v>2</v>
      </c>
      <c r="B9" s="5" t="s">
        <v>10</v>
      </c>
      <c r="C9" s="14" t="s">
        <v>37</v>
      </c>
      <c r="D9" s="8"/>
      <c r="E9" s="35">
        <v>9.25</v>
      </c>
      <c r="F9" s="16"/>
      <c r="G9" s="11">
        <v>10</v>
      </c>
      <c r="H9" s="14"/>
      <c r="I9" s="8"/>
      <c r="J9" s="39"/>
      <c r="K9" s="3"/>
      <c r="L9" s="3"/>
      <c r="M9" s="3"/>
      <c r="N9" s="3"/>
      <c r="O9" s="3"/>
      <c r="P9" s="3"/>
    </row>
    <row r="10" spans="1:16" ht="15.6" x14ac:dyDescent="0.3">
      <c r="A10" s="13">
        <v>3</v>
      </c>
      <c r="B10" s="5" t="s">
        <v>11</v>
      </c>
      <c r="C10" s="14" t="s">
        <v>36</v>
      </c>
      <c r="D10" s="8"/>
      <c r="E10" s="35">
        <v>9.25</v>
      </c>
      <c r="F10" s="16">
        <v>78</v>
      </c>
      <c r="G10" s="11">
        <v>11</v>
      </c>
      <c r="H10" s="3"/>
      <c r="I10" s="8"/>
      <c r="J10" s="39"/>
      <c r="K10" s="3"/>
      <c r="L10" s="3"/>
      <c r="M10" s="3"/>
      <c r="N10" s="3"/>
      <c r="O10" s="3"/>
      <c r="P10" s="3"/>
    </row>
    <row r="11" spans="1:16" ht="15.6" x14ac:dyDescent="0.3">
      <c r="A11" s="13">
        <v>4</v>
      </c>
      <c r="B11" s="5" t="s">
        <v>12</v>
      </c>
      <c r="C11" s="14" t="s">
        <v>29</v>
      </c>
      <c r="D11" s="8"/>
      <c r="E11" s="35">
        <v>9.25</v>
      </c>
      <c r="F11" s="16"/>
      <c r="G11" s="11">
        <v>12</v>
      </c>
      <c r="H11" s="3"/>
      <c r="I11" s="8"/>
      <c r="J11" s="39"/>
      <c r="K11" s="3"/>
      <c r="L11" s="3"/>
      <c r="M11" s="3"/>
      <c r="N11" s="3"/>
      <c r="O11" s="3"/>
      <c r="P11" s="3"/>
    </row>
    <row r="12" spans="1:16" ht="15.6" x14ac:dyDescent="0.3">
      <c r="A12" s="13">
        <v>5</v>
      </c>
      <c r="B12" s="3"/>
      <c r="C12" s="31" t="s">
        <v>30</v>
      </c>
      <c r="D12" s="8"/>
      <c r="E12" s="35">
        <v>9.25</v>
      </c>
      <c r="F12" s="16"/>
      <c r="G12" s="11">
        <v>13</v>
      </c>
      <c r="H12" s="3"/>
      <c r="I12" s="8"/>
      <c r="J12" s="39"/>
      <c r="K12" s="3"/>
      <c r="L12" s="3"/>
      <c r="M12" s="3"/>
      <c r="N12" s="3"/>
      <c r="O12" s="3"/>
      <c r="P12" s="3"/>
    </row>
    <row r="13" spans="1:16" ht="15.6" x14ac:dyDescent="0.3">
      <c r="A13" s="13">
        <v>6</v>
      </c>
      <c r="B13" s="3"/>
      <c r="C13" s="14" t="s">
        <v>31</v>
      </c>
      <c r="D13" s="8"/>
      <c r="E13" s="35">
        <v>9.25</v>
      </c>
      <c r="F13" s="16">
        <v>74</v>
      </c>
      <c r="G13" s="11">
        <v>14</v>
      </c>
      <c r="H13" s="18"/>
      <c r="I13" s="8"/>
      <c r="J13" s="39"/>
      <c r="K13" s="3"/>
      <c r="L13" s="3"/>
      <c r="M13" s="3"/>
      <c r="N13" s="3"/>
      <c r="O13" s="3"/>
      <c r="P13" s="3"/>
    </row>
    <row r="14" spans="1:16" ht="15.6" x14ac:dyDescent="0.3">
      <c r="A14" s="13">
        <v>7</v>
      </c>
      <c r="B14" s="5" t="s">
        <v>52</v>
      </c>
      <c r="C14" s="14" t="s">
        <v>39</v>
      </c>
      <c r="D14" s="8"/>
      <c r="E14" s="35">
        <v>9.25</v>
      </c>
      <c r="F14" s="16"/>
      <c r="G14" s="11">
        <v>15</v>
      </c>
      <c r="H14" s="3"/>
      <c r="I14" s="8"/>
      <c r="J14" s="39"/>
      <c r="K14" s="3"/>
      <c r="L14" s="3"/>
      <c r="M14" s="3"/>
      <c r="N14" s="3"/>
      <c r="O14" s="3"/>
      <c r="P14" s="3"/>
    </row>
    <row r="15" spans="1:16" ht="15.6" x14ac:dyDescent="0.3">
      <c r="A15" s="13">
        <v>8</v>
      </c>
      <c r="B15" s="3"/>
      <c r="C15" s="14" t="s">
        <v>38</v>
      </c>
      <c r="D15" s="8"/>
      <c r="E15" s="35">
        <v>9.25</v>
      </c>
      <c r="F15" s="16"/>
      <c r="G15" s="11">
        <v>16</v>
      </c>
      <c r="H15" s="3"/>
      <c r="I15" s="8"/>
      <c r="J15" s="39"/>
      <c r="K15" s="3"/>
      <c r="L15" s="3"/>
      <c r="M15" s="3"/>
      <c r="N15" s="3"/>
      <c r="O15" s="3"/>
      <c r="P15" s="3"/>
    </row>
    <row r="16" spans="1:16" ht="15.6" x14ac:dyDescent="0.3">
      <c r="A16" s="3"/>
      <c r="B16" s="3"/>
      <c r="C16" s="3"/>
      <c r="D16" s="3"/>
      <c r="E16" s="3"/>
      <c r="F16" s="3"/>
      <c r="G16" s="13"/>
      <c r="H16" s="7" t="s">
        <v>13</v>
      </c>
      <c r="I16" s="3"/>
      <c r="J16" s="8">
        <f>SUM(E8:E15)+SUM(J8:J15)</f>
        <v>83.25</v>
      </c>
      <c r="K16" s="3"/>
      <c r="L16" s="3"/>
      <c r="M16" s="3"/>
      <c r="N16" s="3"/>
      <c r="O16" s="3"/>
      <c r="P16" s="3"/>
    </row>
    <row r="17" spans="1:16" ht="15.6" x14ac:dyDescent="0.3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  <c r="L17" s="3"/>
      <c r="M17" s="3"/>
      <c r="N17" s="3"/>
      <c r="O17" s="3"/>
      <c r="P17" s="3"/>
    </row>
    <row r="18" spans="1:16" ht="93.6" x14ac:dyDescent="0.3">
      <c r="A18" s="19"/>
      <c r="B18" s="20" t="s">
        <v>14</v>
      </c>
      <c r="C18" s="21" t="s">
        <v>15</v>
      </c>
      <c r="D18" s="22" t="s">
        <v>16</v>
      </c>
      <c r="E18" s="22" t="s">
        <v>17</v>
      </c>
      <c r="F18" s="22" t="s">
        <v>18</v>
      </c>
      <c r="G18" s="22" t="s">
        <v>19</v>
      </c>
      <c r="H18" s="22" t="s">
        <v>18</v>
      </c>
      <c r="I18" s="22" t="s">
        <v>19</v>
      </c>
      <c r="J18" s="22" t="s">
        <v>20</v>
      </c>
      <c r="K18" s="23" t="s">
        <v>21</v>
      </c>
      <c r="L18" s="24"/>
      <c r="M18" s="23" t="s">
        <v>22</v>
      </c>
      <c r="N18" s="23" t="s">
        <v>23</v>
      </c>
      <c r="O18" s="23" t="s">
        <v>24</v>
      </c>
      <c r="P18" s="23" t="s">
        <v>25</v>
      </c>
    </row>
    <row r="19" spans="1:16" ht="15.6" x14ac:dyDescent="0.3">
      <c r="A19" s="19"/>
      <c r="B19" s="19"/>
      <c r="C19" s="24"/>
      <c r="D19" s="24"/>
      <c r="E19" s="24"/>
      <c r="F19" s="24"/>
      <c r="G19" s="24"/>
      <c r="H19" s="24"/>
      <c r="I19" s="24"/>
      <c r="J19" s="24"/>
      <c r="K19" s="25"/>
      <c r="L19" s="24"/>
      <c r="M19" s="3"/>
      <c r="N19" s="3"/>
      <c r="O19" s="3"/>
      <c r="P19" s="3"/>
    </row>
    <row r="20" spans="1:16" ht="15.6" x14ac:dyDescent="0.3">
      <c r="A20" s="3"/>
      <c r="B20" s="8" t="s">
        <v>26</v>
      </c>
      <c r="C20" s="8">
        <v>1</v>
      </c>
      <c r="D20" s="8">
        <v>1</v>
      </c>
      <c r="E20" s="8"/>
      <c r="F20" s="8"/>
      <c r="G20" s="35">
        <v>0</v>
      </c>
      <c r="H20" s="8"/>
      <c r="I20" s="16"/>
      <c r="J20" s="35">
        <f>F20*G20+H20*I20</f>
        <v>0</v>
      </c>
      <c r="K20" s="16" t="e">
        <f>E20/(J20)</f>
        <v>#DIV/0!</v>
      </c>
      <c r="L20" s="3"/>
      <c r="M20" s="26">
        <v>0</v>
      </c>
      <c r="N20" s="27">
        <f>M20/C20</f>
        <v>0</v>
      </c>
      <c r="O20" s="35">
        <f>J20+'5-17-22'!O20</f>
        <v>108</v>
      </c>
      <c r="P20" s="26">
        <f>M20/O20</f>
        <v>0</v>
      </c>
    </row>
    <row r="21" spans="1:16" ht="15.6" x14ac:dyDescent="0.3">
      <c r="A21" s="3"/>
      <c r="B21" s="3"/>
      <c r="C21" s="3"/>
      <c r="D21" s="3"/>
      <c r="E21" s="3"/>
      <c r="F21" s="3"/>
      <c r="G21" s="40"/>
      <c r="H21" s="3"/>
      <c r="I21" s="28"/>
      <c r="J21" s="40"/>
      <c r="K21" s="28"/>
      <c r="L21" s="3"/>
      <c r="M21" s="29"/>
      <c r="N21" s="3"/>
      <c r="O21" s="3"/>
      <c r="P21" s="3"/>
    </row>
    <row r="22" spans="1:16" ht="15.6" x14ac:dyDescent="0.3">
      <c r="A22" s="3"/>
      <c r="B22" s="8" t="s">
        <v>53</v>
      </c>
      <c r="C22" s="8">
        <v>125400</v>
      </c>
      <c r="D22" s="8"/>
      <c r="E22" s="41">
        <v>17486</v>
      </c>
      <c r="F22" s="8">
        <v>9</v>
      </c>
      <c r="G22" s="35">
        <v>9.25</v>
      </c>
      <c r="H22" s="8"/>
      <c r="I22" s="16"/>
      <c r="J22" s="35">
        <f>F22*G22+H22*I22</f>
        <v>83.25</v>
      </c>
      <c r="K22" s="16">
        <f>E22/(J22)</f>
        <v>210.04204204204206</v>
      </c>
      <c r="L22" s="3"/>
      <c r="M22" s="26">
        <f>E22+'5-17-22'!M22</f>
        <v>34972</v>
      </c>
      <c r="N22" s="27">
        <f>M22/C22</f>
        <v>0.27888357256778307</v>
      </c>
      <c r="O22" s="35">
        <f>J22+'5-17-22'!O22</f>
        <v>132.75</v>
      </c>
      <c r="P22" s="26">
        <f>M22/O22</f>
        <v>263.44256120527308</v>
      </c>
    </row>
    <row r="23" spans="1:16" ht="15.6" x14ac:dyDescent="0.3">
      <c r="A23" s="3"/>
      <c r="B23" s="3"/>
      <c r="C23" s="3"/>
      <c r="D23" s="3"/>
      <c r="E23" s="3"/>
      <c r="F23" s="3"/>
      <c r="G23" s="40"/>
      <c r="H23" s="3"/>
      <c r="I23" s="28"/>
      <c r="J23" s="40"/>
      <c r="K23" s="28"/>
      <c r="L23" s="3"/>
      <c r="M23" s="29"/>
      <c r="N23" s="3"/>
      <c r="O23" s="36"/>
      <c r="P23" s="29"/>
    </row>
    <row r="24" spans="1:16" ht="15.6" x14ac:dyDescent="0.3">
      <c r="A24" s="3"/>
      <c r="B24" s="8" t="s">
        <v>54</v>
      </c>
      <c r="C24" s="8">
        <v>125400</v>
      </c>
      <c r="D24" s="8"/>
      <c r="E24" s="8"/>
      <c r="F24" s="8"/>
      <c r="G24" s="35"/>
      <c r="H24" s="8"/>
      <c r="I24" s="16"/>
      <c r="J24" s="35">
        <f>F24*G24+H24*I24</f>
        <v>0</v>
      </c>
      <c r="K24" s="16" t="e">
        <f>E24/(J24)</f>
        <v>#DIV/0!</v>
      </c>
      <c r="L24" s="3"/>
      <c r="M24" s="26">
        <v>0</v>
      </c>
      <c r="N24" s="27">
        <f>M24/C24</f>
        <v>0</v>
      </c>
      <c r="O24" s="35">
        <f>J24</f>
        <v>0</v>
      </c>
      <c r="P24" s="26" t="e">
        <f>M24/O24</f>
        <v>#DIV/0!</v>
      </c>
    </row>
    <row r="25" spans="1:16" ht="15.6" x14ac:dyDescent="0.3">
      <c r="A25" s="3"/>
      <c r="B25" s="3"/>
      <c r="C25" s="3"/>
      <c r="D25" s="3"/>
      <c r="E25" s="3"/>
      <c r="F25" s="3"/>
      <c r="G25" s="36"/>
      <c r="H25" s="3"/>
      <c r="I25" s="4"/>
      <c r="J25" s="36"/>
      <c r="K25" s="4"/>
      <c r="L25" s="3"/>
      <c r="M25" s="29"/>
      <c r="N25" s="3"/>
      <c r="O25" s="3"/>
      <c r="P25" s="3"/>
    </row>
    <row r="26" spans="1:16" ht="15.6" x14ac:dyDescent="0.3">
      <c r="A26" s="3"/>
      <c r="B26" s="8" t="s">
        <v>44</v>
      </c>
      <c r="C26" s="8">
        <v>3040</v>
      </c>
      <c r="D26" s="8"/>
      <c r="E26" s="8"/>
      <c r="F26" s="8"/>
      <c r="G26" s="35"/>
      <c r="H26" s="8"/>
      <c r="I26" s="16"/>
      <c r="J26" s="35">
        <f>F26*G26+H26*I26</f>
        <v>0</v>
      </c>
      <c r="K26" s="16" t="e">
        <f>E26/(J26)</f>
        <v>#DIV/0!</v>
      </c>
      <c r="L26" s="3"/>
      <c r="M26" s="26">
        <v>0</v>
      </c>
      <c r="N26" s="27">
        <f>M26/C26</f>
        <v>0</v>
      </c>
      <c r="O26" s="35">
        <f>J26</f>
        <v>0</v>
      </c>
      <c r="P26" s="26" t="e">
        <f>M26/O26</f>
        <v>#DIV/0!</v>
      </c>
    </row>
    <row r="27" spans="1:16" ht="15.6" x14ac:dyDescent="0.3">
      <c r="A27" s="3"/>
      <c r="B27" s="3"/>
      <c r="C27" s="3"/>
      <c r="D27" s="3"/>
      <c r="E27" s="3"/>
      <c r="F27" s="3"/>
      <c r="G27" s="36"/>
      <c r="H27" s="3"/>
      <c r="I27" s="4"/>
      <c r="J27" s="36"/>
      <c r="K27" s="4"/>
      <c r="L27" s="3"/>
      <c r="M27" s="29"/>
      <c r="N27" s="3"/>
      <c r="O27" s="3"/>
      <c r="P27" s="3"/>
    </row>
    <row r="28" spans="1:16" ht="15.6" x14ac:dyDescent="0.3">
      <c r="A28" s="3"/>
      <c r="B28" s="8" t="s">
        <v>45</v>
      </c>
      <c r="C28" s="8">
        <v>3040</v>
      </c>
      <c r="D28" s="8"/>
      <c r="E28" s="8"/>
      <c r="F28" s="8"/>
      <c r="G28" s="35"/>
      <c r="H28" s="8"/>
      <c r="I28" s="16"/>
      <c r="J28" s="35">
        <f>F28*G28+H28*I28</f>
        <v>0</v>
      </c>
      <c r="K28" s="16" t="e">
        <f>E28/(J28)</f>
        <v>#DIV/0!</v>
      </c>
      <c r="L28" s="3"/>
      <c r="M28" s="26">
        <v>0</v>
      </c>
      <c r="N28" s="27">
        <f>M28/C28</f>
        <v>0</v>
      </c>
      <c r="O28" s="35">
        <f>J28</f>
        <v>0</v>
      </c>
      <c r="P28" s="26" t="e">
        <f>M28/O28</f>
        <v>#DIV/0!</v>
      </c>
    </row>
    <row r="29" spans="1:16" ht="15.6" x14ac:dyDescent="0.3">
      <c r="A29" s="3"/>
      <c r="B29" s="3"/>
      <c r="C29" s="3"/>
      <c r="D29" s="3"/>
      <c r="E29" s="3"/>
      <c r="F29" s="3"/>
      <c r="G29" s="36"/>
      <c r="H29" s="3"/>
      <c r="I29" s="4"/>
      <c r="J29" s="36"/>
      <c r="K29" s="4"/>
      <c r="L29" s="3"/>
      <c r="M29" s="29"/>
      <c r="N29" s="3"/>
      <c r="O29" s="3"/>
      <c r="P29" s="3"/>
    </row>
    <row r="30" spans="1:16" ht="15.6" x14ac:dyDescent="0.3">
      <c r="A30" s="3"/>
      <c r="B30" s="8" t="s">
        <v>47</v>
      </c>
      <c r="C30" s="8">
        <v>125400</v>
      </c>
      <c r="D30" s="8"/>
      <c r="E30" s="8"/>
      <c r="F30" s="8"/>
      <c r="G30" s="35"/>
      <c r="H30" s="8"/>
      <c r="I30" s="16"/>
      <c r="J30" s="35">
        <f>F30*G30+H30*I30</f>
        <v>0</v>
      </c>
      <c r="K30" s="16" t="e">
        <f>E30/(J30)</f>
        <v>#DIV/0!</v>
      </c>
      <c r="L30" s="3"/>
      <c r="M30" s="26">
        <v>0</v>
      </c>
      <c r="N30" s="27">
        <f>M30/C30</f>
        <v>0</v>
      </c>
      <c r="O30" s="35">
        <f>J30</f>
        <v>0</v>
      </c>
      <c r="P30" s="26" t="e">
        <f>M30/O30</f>
        <v>#DIV/0!</v>
      </c>
    </row>
    <row r="31" spans="1:16" ht="15.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7"/>
      <c r="O31" s="3"/>
      <c r="P31" s="3"/>
    </row>
    <row r="32" spans="1:16" ht="15.6" x14ac:dyDescent="0.3">
      <c r="A32" s="3"/>
      <c r="B32" s="8" t="s">
        <v>46</v>
      </c>
      <c r="C32" s="8">
        <v>324</v>
      </c>
      <c r="D32" s="8"/>
      <c r="E32" s="8"/>
      <c r="F32" s="8"/>
      <c r="G32" s="35"/>
      <c r="H32" s="8"/>
      <c r="I32" s="16"/>
      <c r="J32" s="35">
        <f>F32*G32+H32*I32</f>
        <v>0</v>
      </c>
      <c r="K32" s="16" t="e">
        <f>E32/(J32)</f>
        <v>#DIV/0!</v>
      </c>
      <c r="L32" s="3"/>
      <c r="M32" s="26">
        <v>0</v>
      </c>
      <c r="N32" s="27">
        <f>M32/C32</f>
        <v>0</v>
      </c>
      <c r="O32" s="35">
        <f>J32</f>
        <v>0</v>
      </c>
      <c r="P32" s="26" t="e">
        <f>M32/O32</f>
        <v>#DIV/0!</v>
      </c>
    </row>
    <row r="33" spans="1:16" ht="15.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7"/>
      <c r="O33" s="3"/>
      <c r="P33" s="3"/>
    </row>
    <row r="34" spans="1:16" ht="15.6" x14ac:dyDescent="0.3">
      <c r="A34" s="3"/>
      <c r="B34" s="8" t="s">
        <v>48</v>
      </c>
      <c r="C34" s="8">
        <v>115000</v>
      </c>
      <c r="D34" s="8"/>
      <c r="E34" s="8"/>
      <c r="F34" s="8"/>
      <c r="G34" s="35"/>
      <c r="H34" s="8"/>
      <c r="I34" s="16"/>
      <c r="J34" s="35">
        <f>F34*G34+H34*I34</f>
        <v>0</v>
      </c>
      <c r="K34" s="16" t="e">
        <f>E34/(J34)</f>
        <v>#DIV/0!</v>
      </c>
      <c r="L34" s="3"/>
      <c r="M34" s="26">
        <v>0</v>
      </c>
      <c r="N34" s="27">
        <f>M34/C34</f>
        <v>0</v>
      </c>
      <c r="O34" s="35">
        <f>J34</f>
        <v>0</v>
      </c>
      <c r="P34" s="26" t="e">
        <f>M34/O34</f>
        <v>#DIV/0!</v>
      </c>
    </row>
    <row r="35" spans="1:16" ht="15.6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27"/>
      <c r="O35" s="3"/>
      <c r="P35" s="3"/>
    </row>
    <row r="36" spans="1:16" ht="15.6" x14ac:dyDescent="0.3">
      <c r="A36" s="3"/>
      <c r="B36" s="8" t="s">
        <v>49</v>
      </c>
      <c r="C36" s="8">
        <v>8</v>
      </c>
      <c r="D36" s="8"/>
      <c r="E36" s="8"/>
      <c r="F36" s="8"/>
      <c r="G36" s="35"/>
      <c r="H36" s="8"/>
      <c r="I36" s="16"/>
      <c r="J36" s="35">
        <f>F36*G36+H36*I36</f>
        <v>0</v>
      </c>
      <c r="K36" s="16" t="e">
        <f>E36/(J36)</f>
        <v>#DIV/0!</v>
      </c>
      <c r="L36" s="3"/>
      <c r="M36" s="26">
        <v>0</v>
      </c>
      <c r="N36" s="27">
        <f>M36/C36</f>
        <v>0</v>
      </c>
      <c r="O36" s="35">
        <f>J36</f>
        <v>0</v>
      </c>
      <c r="P36" s="26" t="e">
        <f>M36/O36</f>
        <v>#DIV/0!</v>
      </c>
    </row>
    <row r="37" spans="1:16" ht="15.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27"/>
      <c r="O37" s="3"/>
      <c r="P37" s="3"/>
    </row>
    <row r="38" spans="1:16" ht="15.6" x14ac:dyDescent="0.3">
      <c r="A38" s="3"/>
      <c r="B38" s="8" t="s">
        <v>50</v>
      </c>
      <c r="C38" s="8">
        <f>2760+480</f>
        <v>3240</v>
      </c>
      <c r="D38" s="8"/>
      <c r="E38" s="8"/>
      <c r="F38" s="8"/>
      <c r="G38" s="35"/>
      <c r="H38" s="8"/>
      <c r="I38" s="16"/>
      <c r="J38" s="35">
        <f>F38*G38+H38*I38</f>
        <v>0</v>
      </c>
      <c r="K38" s="16" t="e">
        <f>E38/(J38)</f>
        <v>#DIV/0!</v>
      </c>
      <c r="L38" s="3"/>
      <c r="M38" s="26">
        <v>0</v>
      </c>
      <c r="N38" s="27">
        <f>M38/C38</f>
        <v>0</v>
      </c>
      <c r="O38" s="35">
        <f>J38</f>
        <v>0</v>
      </c>
      <c r="P38" s="26" t="e">
        <f>M38/O38</f>
        <v>#DIV/0!</v>
      </c>
    </row>
    <row r="39" spans="1:16" ht="15.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7"/>
      <c r="O39" s="3"/>
      <c r="P39" s="3"/>
    </row>
    <row r="40" spans="1:16" ht="15.6" x14ac:dyDescent="0.3">
      <c r="A40" s="3"/>
      <c r="B40" s="8" t="s">
        <v>51</v>
      </c>
      <c r="C40" s="8">
        <v>25</v>
      </c>
      <c r="D40" s="8"/>
      <c r="E40" s="8"/>
      <c r="F40" s="8"/>
      <c r="G40" s="35"/>
      <c r="H40" s="8"/>
      <c r="I40" s="16"/>
      <c r="J40" s="35">
        <f>F40*G40+H40*I40</f>
        <v>0</v>
      </c>
      <c r="K40" s="16" t="e">
        <f>E40/(J40)</f>
        <v>#DIV/0!</v>
      </c>
      <c r="L40" s="3"/>
      <c r="M40" s="26">
        <v>0</v>
      </c>
      <c r="N40" s="27">
        <f>M40/C40</f>
        <v>0</v>
      </c>
      <c r="O40" s="35">
        <f>J40</f>
        <v>0</v>
      </c>
      <c r="P40" s="26" t="e">
        <f>M40/O40</f>
        <v>#DIV/0!</v>
      </c>
    </row>
    <row r="41" spans="1:16" ht="15.6" x14ac:dyDescent="0.3">
      <c r="A41" s="3"/>
      <c r="B41" s="3" t="s">
        <v>27</v>
      </c>
      <c r="C41" s="3"/>
      <c r="D41" s="3"/>
      <c r="E41" s="3"/>
      <c r="F41" s="3"/>
      <c r="G41" s="3"/>
      <c r="H41" s="30"/>
      <c r="I41" s="4"/>
      <c r="J41" s="3">
        <f>J20+J22+J24+J26+J28+J30+J32+J34+J36+J38+J40</f>
        <v>83.25</v>
      </c>
      <c r="K41" s="3"/>
      <c r="L41" s="3"/>
      <c r="M41" s="3"/>
      <c r="N41" s="3"/>
      <c r="O41" s="3">
        <f>O20+O22+O24+O26+O28+O30+O32+O34+O36+O38++O40</f>
        <v>240.75</v>
      </c>
      <c r="P41" s="3"/>
    </row>
    <row r="42" spans="1:16" ht="15.6" x14ac:dyDescent="0.3">
      <c r="A42" s="3"/>
      <c r="B42" s="3"/>
      <c r="C42" s="3"/>
      <c r="D42" s="3"/>
      <c r="E42" s="3"/>
      <c r="F42" s="3"/>
      <c r="G42" s="3"/>
      <c r="H42" s="3"/>
      <c r="I42" s="4"/>
      <c r="J42" s="3"/>
      <c r="K42" s="3"/>
      <c r="L42" s="3"/>
      <c r="M42" s="3"/>
      <c r="N42" s="3"/>
      <c r="O42" s="3"/>
      <c r="P42" s="3"/>
    </row>
    <row r="43" spans="1:16" ht="15.6" x14ac:dyDescent="0.3">
      <c r="A43" s="3"/>
      <c r="B43" s="3" t="s">
        <v>28</v>
      </c>
      <c r="C43" s="3" t="s">
        <v>58</v>
      </c>
      <c r="D43" s="3"/>
      <c r="E43" s="3"/>
      <c r="F43" s="3"/>
      <c r="G43" s="3"/>
      <c r="H43" s="3"/>
      <c r="I43" s="4"/>
      <c r="J43" s="3"/>
      <c r="K43" s="3"/>
      <c r="L43" s="3"/>
      <c r="M43" s="3"/>
      <c r="N43" s="3"/>
      <c r="O43" s="3"/>
      <c r="P43" s="3"/>
    </row>
    <row r="44" spans="1:16" ht="15.6" x14ac:dyDescent="0.3">
      <c r="C44" s="33"/>
    </row>
    <row r="45" spans="1:16" ht="15.6" x14ac:dyDescent="0.3">
      <c r="B45" s="3" t="s">
        <v>32</v>
      </c>
      <c r="C45" s="33" t="s">
        <v>59</v>
      </c>
    </row>
    <row r="46" spans="1:16" ht="15.6" x14ac:dyDescent="0.3">
      <c r="C46" s="33"/>
    </row>
    <row r="47" spans="1:16" ht="15.6" x14ac:dyDescent="0.3">
      <c r="B47" s="3" t="s">
        <v>33</v>
      </c>
      <c r="C47" s="3" t="s">
        <v>60</v>
      </c>
    </row>
  </sheetData>
  <mergeCells count="2">
    <mergeCell ref="A1:G1"/>
    <mergeCell ref="H7:I7"/>
  </mergeCells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FA384-5AC7-47D6-8919-31F77C70C009}">
  <dimension ref="A1:P47"/>
  <sheetViews>
    <sheetView topLeftCell="A28" zoomScale="85" zoomScaleNormal="85" workbookViewId="0">
      <selection activeCell="G23" sqref="G23"/>
    </sheetView>
  </sheetViews>
  <sheetFormatPr defaultRowHeight="14.4" x14ac:dyDescent="0.3"/>
  <cols>
    <col min="1" max="1" width="11.33203125" customWidth="1"/>
    <col min="2" max="2" width="29.33203125" customWidth="1"/>
    <col min="3" max="3" width="22.109375" customWidth="1"/>
    <col min="4" max="4" width="14.88671875" customWidth="1"/>
    <col min="5" max="5" width="16.6640625" customWidth="1"/>
    <col min="6" max="6" width="17.44140625" customWidth="1"/>
    <col min="8" max="8" width="19.44140625" customWidth="1"/>
    <col min="13" max="13" width="10.6640625" customWidth="1"/>
    <col min="15" max="15" width="10.6640625" customWidth="1"/>
  </cols>
  <sheetData>
    <row r="1" spans="1:16" ht="18" x14ac:dyDescent="0.35">
      <c r="A1" s="66" t="s">
        <v>0</v>
      </c>
      <c r="B1" s="66"/>
      <c r="C1" s="66"/>
      <c r="D1" s="66"/>
      <c r="E1" s="66"/>
      <c r="F1" s="66"/>
      <c r="G1" s="66"/>
      <c r="H1" s="1"/>
      <c r="I1" s="2"/>
      <c r="J1" s="1"/>
      <c r="K1" s="1"/>
      <c r="L1" s="1"/>
      <c r="M1" s="1"/>
      <c r="N1" s="1"/>
      <c r="O1" s="1"/>
      <c r="P1" s="1"/>
    </row>
    <row r="2" spans="1:16" ht="15.6" x14ac:dyDescent="0.3">
      <c r="A2" s="3"/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</row>
    <row r="3" spans="1:16" ht="15.6" x14ac:dyDescent="0.3">
      <c r="A3" s="3"/>
      <c r="B3" s="5" t="s">
        <v>1</v>
      </c>
      <c r="C3" s="6" t="s">
        <v>43</v>
      </c>
      <c r="D3" s="7"/>
      <c r="E3" s="3"/>
      <c r="F3" s="5" t="s">
        <v>2</v>
      </c>
      <c r="G3" s="8">
        <v>4355</v>
      </c>
      <c r="H3" s="5" t="s">
        <v>41</v>
      </c>
      <c r="I3" s="4">
        <v>49</v>
      </c>
      <c r="J3" s="3"/>
      <c r="K3" s="3"/>
      <c r="L3" s="3"/>
      <c r="M3" s="3"/>
      <c r="N3" s="3"/>
      <c r="O3" s="3"/>
      <c r="P3" s="3"/>
    </row>
    <row r="4" spans="1:16" ht="15.6" x14ac:dyDescent="0.3">
      <c r="A4" s="3"/>
      <c r="B4" s="5" t="s">
        <v>3</v>
      </c>
      <c r="C4" s="37">
        <v>300155</v>
      </c>
      <c r="D4" s="7"/>
      <c r="E4" s="3"/>
      <c r="F4" s="5" t="s">
        <v>4</v>
      </c>
      <c r="G4" s="9">
        <f>J16+'5-16-22'!G4</f>
        <v>157.5</v>
      </c>
      <c r="H4" s="34" t="s">
        <v>42</v>
      </c>
      <c r="I4" s="4">
        <v>2</v>
      </c>
      <c r="J4" s="3"/>
      <c r="K4" s="3"/>
      <c r="L4" s="3"/>
      <c r="M4" s="3"/>
      <c r="N4" s="3"/>
      <c r="O4" s="3"/>
      <c r="P4" s="3"/>
    </row>
    <row r="5" spans="1:16" ht="15.6" x14ac:dyDescent="0.3">
      <c r="A5" s="3"/>
      <c r="B5" s="5" t="s">
        <v>5</v>
      </c>
      <c r="C5" s="38">
        <v>44698</v>
      </c>
      <c r="D5" s="3"/>
      <c r="E5" s="3"/>
      <c r="F5" s="3"/>
      <c r="G5" s="3"/>
      <c r="H5" s="3"/>
      <c r="I5" s="4"/>
      <c r="J5" s="3"/>
      <c r="K5" s="3"/>
      <c r="L5" s="3"/>
      <c r="M5" s="3"/>
      <c r="N5" s="3"/>
      <c r="O5" s="3"/>
      <c r="P5" s="3"/>
    </row>
    <row r="6" spans="1:16" ht="15.6" x14ac:dyDescent="0.3">
      <c r="A6" s="3"/>
      <c r="B6" s="5"/>
      <c r="C6" s="3"/>
      <c r="D6" s="3"/>
      <c r="E6" s="3"/>
      <c r="F6" s="3"/>
      <c r="G6" s="3"/>
      <c r="H6" s="3"/>
      <c r="I6" s="4"/>
      <c r="J6" s="3"/>
      <c r="K6" s="3"/>
      <c r="L6" s="3"/>
      <c r="M6" s="3"/>
      <c r="N6" s="3"/>
      <c r="O6" s="3"/>
      <c r="P6" s="3"/>
    </row>
    <row r="7" spans="1:16" ht="15.6" x14ac:dyDescent="0.3">
      <c r="A7" s="10" t="s">
        <v>6</v>
      </c>
      <c r="B7" s="11"/>
      <c r="C7" s="12" t="s">
        <v>7</v>
      </c>
      <c r="D7" s="3"/>
      <c r="E7" s="12" t="s">
        <v>8</v>
      </c>
      <c r="F7" s="12" t="s">
        <v>34</v>
      </c>
      <c r="G7" s="3"/>
      <c r="H7" s="67" t="s">
        <v>7</v>
      </c>
      <c r="I7" s="67"/>
      <c r="J7" s="12" t="s">
        <v>8</v>
      </c>
      <c r="K7" s="3"/>
      <c r="L7" s="3"/>
      <c r="M7" s="3"/>
      <c r="N7" s="3"/>
      <c r="O7" s="3"/>
      <c r="P7" s="3"/>
    </row>
    <row r="8" spans="1:16" ht="15.6" x14ac:dyDescent="0.3">
      <c r="A8" s="13">
        <v>1</v>
      </c>
      <c r="B8" s="5" t="s">
        <v>9</v>
      </c>
      <c r="C8" s="14" t="s">
        <v>35</v>
      </c>
      <c r="D8" s="15"/>
      <c r="E8" s="16">
        <v>7</v>
      </c>
      <c r="F8" s="16">
        <v>66</v>
      </c>
      <c r="G8" s="11">
        <v>9</v>
      </c>
      <c r="H8" s="14" t="s">
        <v>40</v>
      </c>
      <c r="I8" s="8"/>
      <c r="J8" s="17">
        <v>7</v>
      </c>
      <c r="K8" s="3"/>
      <c r="L8" s="3"/>
      <c r="M8" s="3"/>
      <c r="N8" s="3"/>
      <c r="O8" s="3"/>
      <c r="P8" s="3"/>
    </row>
    <row r="9" spans="1:16" ht="15.6" x14ac:dyDescent="0.3">
      <c r="A9" s="13">
        <v>2</v>
      </c>
      <c r="B9" s="5" t="s">
        <v>10</v>
      </c>
      <c r="C9" s="14" t="s">
        <v>37</v>
      </c>
      <c r="D9" s="8"/>
      <c r="E9" s="16">
        <v>7</v>
      </c>
      <c r="F9" s="16"/>
      <c r="G9" s="11">
        <v>10</v>
      </c>
      <c r="H9" s="14"/>
      <c r="I9" s="8"/>
      <c r="J9" s="17"/>
      <c r="K9" s="3"/>
      <c r="L9" s="3"/>
      <c r="M9" s="3"/>
      <c r="N9" s="3"/>
      <c r="O9" s="3"/>
      <c r="P9" s="3"/>
    </row>
    <row r="10" spans="1:16" ht="15.6" x14ac:dyDescent="0.3">
      <c r="A10" s="13">
        <v>3</v>
      </c>
      <c r="B10" s="5" t="s">
        <v>11</v>
      </c>
      <c r="C10" s="14" t="s">
        <v>36</v>
      </c>
      <c r="D10" s="8"/>
      <c r="E10" s="16">
        <v>7</v>
      </c>
      <c r="F10" s="16">
        <v>78</v>
      </c>
      <c r="G10" s="11">
        <v>11</v>
      </c>
      <c r="H10" s="3"/>
      <c r="I10" s="8"/>
      <c r="J10" s="17"/>
      <c r="K10" s="3"/>
      <c r="L10" s="3"/>
      <c r="M10" s="3"/>
      <c r="N10" s="3"/>
      <c r="O10" s="3"/>
      <c r="P10" s="3"/>
    </row>
    <row r="11" spans="1:16" ht="15.6" x14ac:dyDescent="0.3">
      <c r="A11" s="13">
        <v>4</v>
      </c>
      <c r="B11" s="5" t="s">
        <v>12</v>
      </c>
      <c r="C11" s="14" t="s">
        <v>29</v>
      </c>
      <c r="D11" s="8"/>
      <c r="E11" s="16">
        <v>7</v>
      </c>
      <c r="F11" s="16"/>
      <c r="G11" s="11">
        <v>12</v>
      </c>
      <c r="H11" s="3"/>
      <c r="I11" s="8"/>
      <c r="J11" s="17"/>
      <c r="K11" s="3"/>
      <c r="L11" s="3"/>
      <c r="M11" s="3"/>
      <c r="N11" s="3"/>
      <c r="O11" s="3"/>
      <c r="P11" s="3"/>
    </row>
    <row r="12" spans="1:16" ht="15.6" x14ac:dyDescent="0.3">
      <c r="A12" s="13">
        <v>5</v>
      </c>
      <c r="B12" s="3"/>
      <c r="C12" s="31" t="s">
        <v>30</v>
      </c>
      <c r="D12" s="8"/>
      <c r="E12" s="16">
        <v>7</v>
      </c>
      <c r="F12" s="16"/>
      <c r="G12" s="11">
        <v>13</v>
      </c>
      <c r="H12" s="3"/>
      <c r="I12" s="8"/>
      <c r="J12" s="17"/>
      <c r="K12" s="3"/>
      <c r="L12" s="3"/>
      <c r="M12" s="3"/>
      <c r="N12" s="3"/>
      <c r="O12" s="3"/>
      <c r="P12" s="3"/>
    </row>
    <row r="13" spans="1:16" ht="15.6" x14ac:dyDescent="0.3">
      <c r="A13" s="13">
        <v>6</v>
      </c>
      <c r="B13" s="3"/>
      <c r="C13" s="14" t="s">
        <v>31</v>
      </c>
      <c r="D13" s="8"/>
      <c r="E13" s="16">
        <v>7</v>
      </c>
      <c r="F13" s="16">
        <v>74</v>
      </c>
      <c r="G13" s="11">
        <v>14</v>
      </c>
      <c r="H13" s="18"/>
      <c r="I13" s="8"/>
      <c r="J13" s="17"/>
      <c r="K13" s="3"/>
      <c r="L13" s="3"/>
      <c r="M13" s="3"/>
      <c r="N13" s="3"/>
      <c r="O13" s="3"/>
      <c r="P13" s="3"/>
    </row>
    <row r="14" spans="1:16" ht="15.6" x14ac:dyDescent="0.3">
      <c r="A14" s="13">
        <v>7</v>
      </c>
      <c r="B14" s="5" t="s">
        <v>52</v>
      </c>
      <c r="C14" s="14" t="s">
        <v>39</v>
      </c>
      <c r="D14" s="8"/>
      <c r="E14" s="16">
        <v>7</v>
      </c>
      <c r="F14" s="16"/>
      <c r="G14" s="11">
        <v>15</v>
      </c>
      <c r="H14" s="3"/>
      <c r="I14" s="8"/>
      <c r="J14" s="17"/>
      <c r="K14" s="3"/>
      <c r="L14" s="3"/>
      <c r="M14" s="3"/>
      <c r="N14" s="3"/>
      <c r="O14" s="3"/>
      <c r="P14" s="3"/>
    </row>
    <row r="15" spans="1:16" ht="15.6" x14ac:dyDescent="0.3">
      <c r="A15" s="13">
        <v>8</v>
      </c>
      <c r="B15" s="3"/>
      <c r="C15" s="14" t="s">
        <v>38</v>
      </c>
      <c r="D15" s="8"/>
      <c r="E15" s="16">
        <v>7</v>
      </c>
      <c r="F15" s="16"/>
      <c r="G15" s="11">
        <v>16</v>
      </c>
      <c r="H15" s="3"/>
      <c r="I15" s="8"/>
      <c r="J15" s="17"/>
      <c r="K15" s="3"/>
      <c r="L15" s="3"/>
      <c r="M15" s="3"/>
      <c r="N15" s="3"/>
      <c r="O15" s="3"/>
      <c r="P15" s="3"/>
    </row>
    <row r="16" spans="1:16" ht="15.6" x14ac:dyDescent="0.3">
      <c r="A16" s="3"/>
      <c r="B16" s="3"/>
      <c r="C16" s="3"/>
      <c r="D16" s="3"/>
      <c r="E16" s="3"/>
      <c r="F16" s="3"/>
      <c r="G16" s="13"/>
      <c r="H16" s="7" t="s">
        <v>13</v>
      </c>
      <c r="I16" s="3"/>
      <c r="J16" s="9">
        <f>SUM(E8:E15)+SUM(J8:J15)</f>
        <v>63</v>
      </c>
      <c r="K16" s="3"/>
      <c r="L16" s="3"/>
      <c r="M16" s="3"/>
      <c r="N16" s="3"/>
      <c r="O16" s="3"/>
      <c r="P16" s="3"/>
    </row>
    <row r="17" spans="1:16" ht="15.6" x14ac:dyDescent="0.3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  <c r="L17" s="3"/>
      <c r="M17" s="3"/>
      <c r="N17" s="3"/>
      <c r="O17" s="3"/>
      <c r="P17" s="3"/>
    </row>
    <row r="18" spans="1:16" ht="93.6" x14ac:dyDescent="0.3">
      <c r="A18" s="19"/>
      <c r="B18" s="20" t="s">
        <v>14</v>
      </c>
      <c r="C18" s="21" t="s">
        <v>15</v>
      </c>
      <c r="D18" s="22" t="s">
        <v>16</v>
      </c>
      <c r="E18" s="22" t="s">
        <v>17</v>
      </c>
      <c r="F18" s="22" t="s">
        <v>18</v>
      </c>
      <c r="G18" s="22" t="s">
        <v>19</v>
      </c>
      <c r="H18" s="22" t="s">
        <v>18</v>
      </c>
      <c r="I18" s="22" t="s">
        <v>19</v>
      </c>
      <c r="J18" s="22" t="s">
        <v>20</v>
      </c>
      <c r="K18" s="23" t="s">
        <v>21</v>
      </c>
      <c r="L18" s="24"/>
      <c r="M18" s="23" t="s">
        <v>22</v>
      </c>
      <c r="N18" s="23" t="s">
        <v>23</v>
      </c>
      <c r="O18" s="23" t="s">
        <v>24</v>
      </c>
      <c r="P18" s="23" t="s">
        <v>25</v>
      </c>
    </row>
    <row r="19" spans="1:16" ht="15.6" x14ac:dyDescent="0.3">
      <c r="A19" s="19"/>
      <c r="B19" s="19"/>
      <c r="C19" s="24"/>
      <c r="D19" s="24"/>
      <c r="E19" s="24"/>
      <c r="F19" s="24"/>
      <c r="G19" s="24"/>
      <c r="H19" s="24"/>
      <c r="I19" s="24"/>
      <c r="J19" s="24"/>
      <c r="K19" s="25"/>
      <c r="L19" s="24"/>
      <c r="M19" s="3"/>
      <c r="N19" s="3"/>
      <c r="O19" s="3"/>
      <c r="P19" s="3"/>
    </row>
    <row r="20" spans="1:16" ht="15.6" x14ac:dyDescent="0.3">
      <c r="A20" s="3"/>
      <c r="B20" s="8" t="s">
        <v>26</v>
      </c>
      <c r="C20" s="8">
        <v>1</v>
      </c>
      <c r="D20" s="8">
        <v>1</v>
      </c>
      <c r="E20" s="8"/>
      <c r="F20" s="8">
        <v>9</v>
      </c>
      <c r="G20" s="16">
        <v>1.5</v>
      </c>
      <c r="H20" s="8"/>
      <c r="I20" s="16"/>
      <c r="J20" s="16">
        <f>F20*G20+H20*I20</f>
        <v>13.5</v>
      </c>
      <c r="K20" s="16">
        <f>E20/(J20)</f>
        <v>0</v>
      </c>
      <c r="L20" s="3"/>
      <c r="M20" s="26">
        <v>0</v>
      </c>
      <c r="N20" s="27">
        <f>M20/C20</f>
        <v>0</v>
      </c>
      <c r="O20" s="16">
        <f>J20+'5-16-22'!O20</f>
        <v>108</v>
      </c>
      <c r="P20" s="26">
        <f>M20/O20</f>
        <v>0</v>
      </c>
    </row>
    <row r="21" spans="1:16" ht="15.6" x14ac:dyDescent="0.3">
      <c r="A21" s="3"/>
      <c r="B21" s="3"/>
      <c r="C21" s="3"/>
      <c r="D21" s="3"/>
      <c r="E21" s="3"/>
      <c r="F21" s="3"/>
      <c r="G21" s="28"/>
      <c r="H21" s="3"/>
      <c r="I21" s="28"/>
      <c r="J21" s="28"/>
      <c r="K21" s="28"/>
      <c r="L21" s="3"/>
      <c r="M21" s="29"/>
      <c r="N21" s="3"/>
      <c r="O21" s="3"/>
      <c r="P21" s="3"/>
    </row>
    <row r="22" spans="1:16" ht="15.6" x14ac:dyDescent="0.3">
      <c r="A22" s="3"/>
      <c r="B22" s="8" t="s">
        <v>53</v>
      </c>
      <c r="C22" s="8">
        <v>125400</v>
      </c>
      <c r="D22" s="8"/>
      <c r="E22" s="41">
        <v>17486</v>
      </c>
      <c r="F22" s="8">
        <v>9</v>
      </c>
      <c r="G22" s="16">
        <v>5.5</v>
      </c>
      <c r="H22" s="8"/>
      <c r="I22" s="16"/>
      <c r="J22" s="16">
        <f>F22*G22+H22*I22</f>
        <v>49.5</v>
      </c>
      <c r="K22" s="16">
        <f>E22/(J22)</f>
        <v>353.25252525252523</v>
      </c>
      <c r="L22" s="3"/>
      <c r="M22" s="26">
        <f>E22+'5-16-22'!M22</f>
        <v>17486</v>
      </c>
      <c r="N22" s="27">
        <f>M22/C22</f>
        <v>0.13944178628389153</v>
      </c>
      <c r="O22" s="16">
        <f>J22+'5-16-22'!O22</f>
        <v>49.5</v>
      </c>
      <c r="P22" s="26">
        <f>M22/O22</f>
        <v>353.25252525252523</v>
      </c>
    </row>
    <row r="23" spans="1:16" ht="15.6" x14ac:dyDescent="0.3">
      <c r="A23" s="3"/>
      <c r="B23" s="3"/>
      <c r="C23" s="3"/>
      <c r="D23" s="3"/>
      <c r="E23" s="3"/>
      <c r="F23" s="3"/>
      <c r="G23" s="28"/>
      <c r="H23" s="3"/>
      <c r="I23" s="28"/>
      <c r="J23" s="28"/>
      <c r="K23" s="28"/>
      <c r="L23" s="3"/>
      <c r="M23" s="29"/>
      <c r="N23" s="3"/>
      <c r="O23" s="36"/>
      <c r="P23" s="29"/>
    </row>
    <row r="24" spans="1:16" ht="15.6" x14ac:dyDescent="0.3">
      <c r="A24" s="3"/>
      <c r="B24" s="8" t="s">
        <v>54</v>
      </c>
      <c r="C24" s="8">
        <v>125400</v>
      </c>
      <c r="D24" s="8"/>
      <c r="E24" s="8"/>
      <c r="F24" s="8"/>
      <c r="G24" s="16"/>
      <c r="H24" s="8"/>
      <c r="I24" s="16"/>
      <c r="J24" s="16">
        <f>F24*G24+H24*I24</f>
        <v>0</v>
      </c>
      <c r="K24" s="16" t="e">
        <f>E24/(J24)</f>
        <v>#DIV/0!</v>
      </c>
      <c r="L24" s="3"/>
      <c r="M24" s="26">
        <v>0</v>
      </c>
      <c r="N24" s="27">
        <f>M24/C24</f>
        <v>0</v>
      </c>
      <c r="O24" s="35">
        <f>J24</f>
        <v>0</v>
      </c>
      <c r="P24" s="26" t="e">
        <f>M24/O24</f>
        <v>#DIV/0!</v>
      </c>
    </row>
    <row r="25" spans="1:16" ht="15.6" x14ac:dyDescent="0.3">
      <c r="A25" s="3"/>
      <c r="B25" s="3"/>
      <c r="C25" s="3"/>
      <c r="D25" s="3"/>
      <c r="E25" s="3"/>
      <c r="F25" s="3"/>
      <c r="G25" s="4"/>
      <c r="H25" s="3"/>
      <c r="I25" s="4"/>
      <c r="J25" s="4"/>
      <c r="K25" s="4"/>
      <c r="L25" s="3"/>
      <c r="M25" s="29"/>
      <c r="N25" s="3"/>
      <c r="O25" s="3"/>
      <c r="P25" s="3"/>
    </row>
    <row r="26" spans="1:16" ht="15.6" x14ac:dyDescent="0.3">
      <c r="A26" s="3"/>
      <c r="B26" s="8" t="s">
        <v>44</v>
      </c>
      <c r="C26" s="8">
        <v>3040</v>
      </c>
      <c r="D26" s="8"/>
      <c r="E26" s="8"/>
      <c r="F26" s="8"/>
      <c r="G26" s="16"/>
      <c r="H26" s="8"/>
      <c r="I26" s="16"/>
      <c r="J26" s="16">
        <f>F26*G26+H26*I26</f>
        <v>0</v>
      </c>
      <c r="K26" s="16" t="e">
        <f>E26/(J26)</f>
        <v>#DIV/0!</v>
      </c>
      <c r="L26" s="3"/>
      <c r="M26" s="26">
        <v>0</v>
      </c>
      <c r="N26" s="27">
        <f>M26/C26</f>
        <v>0</v>
      </c>
      <c r="O26" s="35">
        <f>J26</f>
        <v>0</v>
      </c>
      <c r="P26" s="26" t="e">
        <f>M26/O26</f>
        <v>#DIV/0!</v>
      </c>
    </row>
    <row r="27" spans="1:16" ht="15.6" x14ac:dyDescent="0.3">
      <c r="A27" s="3"/>
      <c r="B27" s="3"/>
      <c r="C27" s="3"/>
      <c r="D27" s="3"/>
      <c r="E27" s="3"/>
      <c r="F27" s="3"/>
      <c r="G27" s="4"/>
      <c r="H27" s="3"/>
      <c r="I27" s="4"/>
      <c r="J27" s="4"/>
      <c r="K27" s="4"/>
      <c r="L27" s="3"/>
      <c r="M27" s="29"/>
      <c r="N27" s="3"/>
      <c r="O27" s="3"/>
      <c r="P27" s="3"/>
    </row>
    <row r="28" spans="1:16" ht="15.6" x14ac:dyDescent="0.3">
      <c r="A28" s="3"/>
      <c r="B28" s="8" t="s">
        <v>45</v>
      </c>
      <c r="C28" s="8">
        <v>3040</v>
      </c>
      <c r="D28" s="8"/>
      <c r="E28" s="8"/>
      <c r="F28" s="8"/>
      <c r="G28" s="16"/>
      <c r="H28" s="8"/>
      <c r="I28" s="16"/>
      <c r="J28" s="16">
        <f>F28*G28+H28*I28</f>
        <v>0</v>
      </c>
      <c r="K28" s="16" t="e">
        <f>E28/(J28)</f>
        <v>#DIV/0!</v>
      </c>
      <c r="L28" s="3"/>
      <c r="M28" s="26">
        <v>0</v>
      </c>
      <c r="N28" s="27">
        <f>M28/C28</f>
        <v>0</v>
      </c>
      <c r="O28" s="35">
        <f>J28</f>
        <v>0</v>
      </c>
      <c r="P28" s="26" t="e">
        <f>M28/O28</f>
        <v>#DIV/0!</v>
      </c>
    </row>
    <row r="29" spans="1:16" ht="15.6" x14ac:dyDescent="0.3">
      <c r="A29" s="3"/>
      <c r="B29" s="3"/>
      <c r="C29" s="3"/>
      <c r="D29" s="3"/>
      <c r="E29" s="3"/>
      <c r="F29" s="3"/>
      <c r="G29" s="4"/>
      <c r="H29" s="3"/>
      <c r="I29" s="4"/>
      <c r="J29" s="4"/>
      <c r="K29" s="4"/>
      <c r="L29" s="3"/>
      <c r="M29" s="29"/>
      <c r="N29" s="3"/>
      <c r="O29" s="3"/>
      <c r="P29" s="3"/>
    </row>
    <row r="30" spans="1:16" ht="15.6" x14ac:dyDescent="0.3">
      <c r="A30" s="3"/>
      <c r="B30" s="8" t="s">
        <v>47</v>
      </c>
      <c r="C30" s="8">
        <v>125400</v>
      </c>
      <c r="D30" s="8"/>
      <c r="E30" s="8"/>
      <c r="F30" s="8"/>
      <c r="G30" s="16"/>
      <c r="H30" s="8"/>
      <c r="I30" s="16"/>
      <c r="J30" s="16">
        <f>F30*G30+H30*I30</f>
        <v>0</v>
      </c>
      <c r="K30" s="16" t="e">
        <f>E30/(J30)</f>
        <v>#DIV/0!</v>
      </c>
      <c r="L30" s="3"/>
      <c r="M30" s="26">
        <v>0</v>
      </c>
      <c r="N30" s="27">
        <f>M30/C30</f>
        <v>0</v>
      </c>
      <c r="O30" s="35">
        <f>J30</f>
        <v>0</v>
      </c>
      <c r="P30" s="26" t="e">
        <f>M30/O30</f>
        <v>#DIV/0!</v>
      </c>
    </row>
    <row r="31" spans="1:16" ht="15.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7"/>
      <c r="O31" s="3"/>
      <c r="P31" s="3"/>
    </row>
    <row r="32" spans="1:16" ht="15.6" x14ac:dyDescent="0.3">
      <c r="A32" s="3"/>
      <c r="B32" s="8" t="s">
        <v>46</v>
      </c>
      <c r="C32" s="8">
        <v>324</v>
      </c>
      <c r="D32" s="8"/>
      <c r="E32" s="8"/>
      <c r="F32" s="8"/>
      <c r="G32" s="16"/>
      <c r="H32" s="8"/>
      <c r="I32" s="16"/>
      <c r="J32" s="16">
        <f>F32*G32+H32*I32</f>
        <v>0</v>
      </c>
      <c r="K32" s="16" t="e">
        <f>E32/(J32)</f>
        <v>#DIV/0!</v>
      </c>
      <c r="L32" s="3"/>
      <c r="M32" s="26">
        <v>0</v>
      </c>
      <c r="N32" s="27">
        <f>M32/C32</f>
        <v>0</v>
      </c>
      <c r="O32" s="35">
        <f>J32</f>
        <v>0</v>
      </c>
      <c r="P32" s="26" t="e">
        <f>M32/O32</f>
        <v>#DIV/0!</v>
      </c>
    </row>
    <row r="33" spans="1:16" ht="15.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7"/>
      <c r="O33" s="3"/>
      <c r="P33" s="3"/>
    </row>
    <row r="34" spans="1:16" ht="15.6" x14ac:dyDescent="0.3">
      <c r="A34" s="3"/>
      <c r="B34" s="8" t="s">
        <v>48</v>
      </c>
      <c r="C34" s="8">
        <v>115000</v>
      </c>
      <c r="D34" s="8"/>
      <c r="E34" s="8"/>
      <c r="F34" s="8"/>
      <c r="G34" s="16"/>
      <c r="H34" s="8"/>
      <c r="I34" s="16"/>
      <c r="J34" s="16">
        <f>F34*G34+H34*I34</f>
        <v>0</v>
      </c>
      <c r="K34" s="16" t="e">
        <f>E34/(J34)</f>
        <v>#DIV/0!</v>
      </c>
      <c r="L34" s="3"/>
      <c r="M34" s="26">
        <v>0</v>
      </c>
      <c r="N34" s="27">
        <f>M34/C34</f>
        <v>0</v>
      </c>
      <c r="O34" s="35">
        <f>J34</f>
        <v>0</v>
      </c>
      <c r="P34" s="26" t="e">
        <f>M34/O34</f>
        <v>#DIV/0!</v>
      </c>
    </row>
    <row r="35" spans="1:16" ht="15.6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27"/>
      <c r="O35" s="3"/>
      <c r="P35" s="3"/>
    </row>
    <row r="36" spans="1:16" ht="15.6" x14ac:dyDescent="0.3">
      <c r="A36" s="3"/>
      <c r="B36" s="8" t="s">
        <v>49</v>
      </c>
      <c r="C36" s="8">
        <v>8</v>
      </c>
      <c r="D36" s="8"/>
      <c r="E36" s="8"/>
      <c r="F36" s="8"/>
      <c r="G36" s="16"/>
      <c r="H36" s="8"/>
      <c r="I36" s="16"/>
      <c r="J36" s="16">
        <f>F36*G36+H36*I36</f>
        <v>0</v>
      </c>
      <c r="K36" s="16" t="e">
        <f>E36/(J36)</f>
        <v>#DIV/0!</v>
      </c>
      <c r="L36" s="3"/>
      <c r="M36" s="26">
        <v>0</v>
      </c>
      <c r="N36" s="27">
        <f>M36/C36</f>
        <v>0</v>
      </c>
      <c r="O36" s="35">
        <f>J36</f>
        <v>0</v>
      </c>
      <c r="P36" s="26" t="e">
        <f>M36/O36</f>
        <v>#DIV/0!</v>
      </c>
    </row>
    <row r="37" spans="1:16" ht="15.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27"/>
      <c r="O37" s="3"/>
      <c r="P37" s="3"/>
    </row>
    <row r="38" spans="1:16" ht="15.6" x14ac:dyDescent="0.3">
      <c r="A38" s="3"/>
      <c r="B38" s="8" t="s">
        <v>50</v>
      </c>
      <c r="C38" s="8">
        <f>2760+480</f>
        <v>3240</v>
      </c>
      <c r="D38" s="8"/>
      <c r="E38" s="8"/>
      <c r="F38" s="8"/>
      <c r="G38" s="16"/>
      <c r="H38" s="8"/>
      <c r="I38" s="16"/>
      <c r="J38" s="16">
        <f>F38*G38+H38*I38</f>
        <v>0</v>
      </c>
      <c r="K38" s="16" t="e">
        <f>E38/(J38)</f>
        <v>#DIV/0!</v>
      </c>
      <c r="L38" s="3"/>
      <c r="M38" s="26">
        <v>0</v>
      </c>
      <c r="N38" s="27">
        <f>M38/C38</f>
        <v>0</v>
      </c>
      <c r="O38" s="35">
        <f>J38</f>
        <v>0</v>
      </c>
      <c r="P38" s="26" t="e">
        <f>M38/O38</f>
        <v>#DIV/0!</v>
      </c>
    </row>
    <row r="39" spans="1:16" ht="15.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7"/>
      <c r="O39" s="3"/>
      <c r="P39" s="3"/>
    </row>
    <row r="40" spans="1:16" ht="15.6" x14ac:dyDescent="0.3">
      <c r="A40" s="3"/>
      <c r="B40" s="8" t="s">
        <v>51</v>
      </c>
      <c r="C40" s="8">
        <v>25</v>
      </c>
      <c r="D40" s="8"/>
      <c r="E40" s="8"/>
      <c r="F40" s="8"/>
      <c r="G40" s="16"/>
      <c r="H40" s="8"/>
      <c r="I40" s="16"/>
      <c r="J40" s="16">
        <f>F40*G40+H40*I40</f>
        <v>0</v>
      </c>
      <c r="K40" s="16" t="e">
        <f>E40/(J40)</f>
        <v>#DIV/0!</v>
      </c>
      <c r="L40" s="3"/>
      <c r="M40" s="26">
        <v>0</v>
      </c>
      <c r="N40" s="27">
        <f>M40/C40</f>
        <v>0</v>
      </c>
      <c r="O40" s="35">
        <f>J40</f>
        <v>0</v>
      </c>
      <c r="P40" s="26" t="e">
        <f>M40/O40</f>
        <v>#DIV/0!</v>
      </c>
    </row>
    <row r="41" spans="1:16" ht="15.6" x14ac:dyDescent="0.3">
      <c r="A41" s="3"/>
      <c r="B41" s="3" t="s">
        <v>27</v>
      </c>
      <c r="C41" s="3"/>
      <c r="D41" s="3"/>
      <c r="E41" s="3"/>
      <c r="F41" s="3"/>
      <c r="G41" s="3"/>
      <c r="H41" s="30"/>
      <c r="I41" s="4"/>
      <c r="J41" s="30">
        <f>J20+J22+J24+J26+J28+J30+J32+J34+J36+J38+J40</f>
        <v>63</v>
      </c>
      <c r="K41" s="3"/>
      <c r="L41" s="3"/>
      <c r="M41" s="3"/>
      <c r="N41" s="3"/>
      <c r="O41" s="32">
        <f>O20+O22+O24+O26+O28+O30+O32+O34+O36+O38+O40</f>
        <v>157.5</v>
      </c>
      <c r="P41" s="3"/>
    </row>
    <row r="42" spans="1:16" ht="15.6" x14ac:dyDescent="0.3">
      <c r="A42" s="3"/>
      <c r="B42" s="3"/>
      <c r="C42" s="3"/>
      <c r="D42" s="3"/>
      <c r="E42" s="3"/>
      <c r="F42" s="3"/>
      <c r="G42" s="3"/>
      <c r="H42" s="3"/>
      <c r="I42" s="4"/>
      <c r="J42" s="3"/>
      <c r="K42" s="3"/>
      <c r="L42" s="3"/>
      <c r="M42" s="3"/>
      <c r="N42" s="3"/>
      <c r="O42" s="3"/>
      <c r="P42" s="3"/>
    </row>
    <row r="43" spans="1:16" ht="15.6" x14ac:dyDescent="0.3">
      <c r="A43" s="3"/>
      <c r="B43" s="3" t="s">
        <v>28</v>
      </c>
      <c r="C43" s="3" t="s">
        <v>57</v>
      </c>
      <c r="D43" s="3"/>
      <c r="E43" s="3"/>
      <c r="F43" s="3"/>
      <c r="G43" s="3"/>
      <c r="H43" s="3"/>
      <c r="I43" s="4"/>
      <c r="J43" s="3"/>
      <c r="K43" s="3"/>
      <c r="L43" s="3"/>
      <c r="M43" s="3"/>
      <c r="N43" s="3"/>
      <c r="O43" s="3"/>
      <c r="P43" s="3"/>
    </row>
    <row r="44" spans="1:16" ht="15.6" x14ac:dyDescent="0.3">
      <c r="C44" s="33"/>
    </row>
    <row r="45" spans="1:16" ht="15.6" x14ac:dyDescent="0.3">
      <c r="B45" s="3" t="s">
        <v>32</v>
      </c>
      <c r="C45" s="33" t="s">
        <v>55</v>
      </c>
    </row>
    <row r="46" spans="1:16" ht="15.6" x14ac:dyDescent="0.3">
      <c r="C46" s="33"/>
    </row>
    <row r="47" spans="1:16" ht="15.6" x14ac:dyDescent="0.3">
      <c r="B47" s="3" t="s">
        <v>33</v>
      </c>
      <c r="C47" s="3" t="s">
        <v>56</v>
      </c>
    </row>
  </sheetData>
  <mergeCells count="2">
    <mergeCell ref="A1:G1"/>
    <mergeCell ref="H7:I7"/>
  </mergeCells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F4067-B473-44EF-B6D9-60C326DAC1C6}">
  <dimension ref="A1:P47"/>
  <sheetViews>
    <sheetView topLeftCell="A20" zoomScale="85" zoomScaleNormal="85" workbookViewId="0">
      <selection activeCell="O42" sqref="O42"/>
    </sheetView>
  </sheetViews>
  <sheetFormatPr defaultRowHeight="14.4" x14ac:dyDescent="0.3"/>
  <cols>
    <col min="1" max="1" width="11.33203125" customWidth="1"/>
    <col min="2" max="2" width="29.33203125" customWidth="1"/>
    <col min="3" max="3" width="22.109375" customWidth="1"/>
    <col min="4" max="4" width="14.88671875" customWidth="1"/>
    <col min="5" max="5" width="16.6640625" customWidth="1"/>
    <col min="6" max="6" width="17.44140625" customWidth="1"/>
    <col min="8" max="8" width="19.44140625" customWidth="1"/>
    <col min="13" max="13" width="10.6640625" customWidth="1"/>
    <col min="15" max="15" width="10.6640625" customWidth="1"/>
  </cols>
  <sheetData>
    <row r="1" spans="1:16" ht="18" x14ac:dyDescent="0.35">
      <c r="A1" s="66" t="s">
        <v>0</v>
      </c>
      <c r="B1" s="66"/>
      <c r="C1" s="66"/>
      <c r="D1" s="66"/>
      <c r="E1" s="66"/>
      <c r="F1" s="66"/>
      <c r="G1" s="66"/>
      <c r="H1" s="1"/>
      <c r="I1" s="2"/>
      <c r="J1" s="1"/>
      <c r="K1" s="1"/>
      <c r="L1" s="1"/>
      <c r="M1" s="1"/>
      <c r="N1" s="1"/>
      <c r="O1" s="1"/>
      <c r="P1" s="1"/>
    </row>
    <row r="2" spans="1:16" ht="15.6" x14ac:dyDescent="0.3">
      <c r="A2" s="3"/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</row>
    <row r="3" spans="1:16" ht="15.6" x14ac:dyDescent="0.3">
      <c r="A3" s="3"/>
      <c r="B3" s="5" t="s">
        <v>1</v>
      </c>
      <c r="C3" s="6" t="s">
        <v>43</v>
      </c>
      <c r="D3" s="7"/>
      <c r="E3" s="3"/>
      <c r="F3" s="5" t="s">
        <v>2</v>
      </c>
      <c r="G3" s="8">
        <v>4355</v>
      </c>
      <c r="H3" s="5" t="s">
        <v>41</v>
      </c>
      <c r="I3" s="4">
        <v>49</v>
      </c>
      <c r="J3" s="3"/>
      <c r="K3" s="3"/>
      <c r="L3" s="3"/>
      <c r="M3" s="3"/>
      <c r="N3" s="3"/>
      <c r="O3" s="3"/>
      <c r="P3" s="3"/>
    </row>
    <row r="4" spans="1:16" ht="15.6" x14ac:dyDescent="0.3">
      <c r="A4" s="3"/>
      <c r="B4" s="5" t="s">
        <v>3</v>
      </c>
      <c r="C4" s="37">
        <v>300155</v>
      </c>
      <c r="D4" s="7"/>
      <c r="E4" s="3"/>
      <c r="F4" s="5" t="s">
        <v>4</v>
      </c>
      <c r="G4" s="9">
        <f>J16</f>
        <v>94.5</v>
      </c>
      <c r="H4" s="34" t="s">
        <v>42</v>
      </c>
      <c r="I4" s="4">
        <v>1</v>
      </c>
      <c r="J4" s="3"/>
      <c r="K4" s="3"/>
      <c r="L4" s="3"/>
      <c r="M4" s="3"/>
      <c r="N4" s="3"/>
      <c r="O4" s="3"/>
      <c r="P4" s="3"/>
    </row>
    <row r="5" spans="1:16" ht="15.6" x14ac:dyDescent="0.3">
      <c r="A5" s="3"/>
      <c r="B5" s="5" t="s">
        <v>5</v>
      </c>
      <c r="C5" s="38">
        <v>44697</v>
      </c>
      <c r="D5" s="3"/>
      <c r="E5" s="3"/>
      <c r="F5" s="3"/>
      <c r="G5" s="3"/>
      <c r="H5" s="3"/>
      <c r="I5" s="4"/>
      <c r="J5" s="3"/>
      <c r="K5" s="3"/>
      <c r="L5" s="3"/>
      <c r="M5" s="3"/>
      <c r="N5" s="3"/>
      <c r="O5" s="3"/>
      <c r="P5" s="3"/>
    </row>
    <row r="6" spans="1:16" ht="15.6" x14ac:dyDescent="0.3">
      <c r="A6" s="3"/>
      <c r="B6" s="5"/>
      <c r="C6" s="3"/>
      <c r="D6" s="3"/>
      <c r="E6" s="3"/>
      <c r="F6" s="3"/>
      <c r="G6" s="3"/>
      <c r="H6" s="3"/>
      <c r="I6" s="4"/>
      <c r="J6" s="3"/>
      <c r="K6" s="3"/>
      <c r="L6" s="3"/>
      <c r="M6" s="3"/>
      <c r="N6" s="3"/>
      <c r="O6" s="3"/>
      <c r="P6" s="3"/>
    </row>
    <row r="7" spans="1:16" ht="15.6" x14ac:dyDescent="0.3">
      <c r="A7" s="10" t="s">
        <v>6</v>
      </c>
      <c r="B7" s="11"/>
      <c r="C7" s="12" t="s">
        <v>7</v>
      </c>
      <c r="D7" s="3"/>
      <c r="E7" s="12" t="s">
        <v>8</v>
      </c>
      <c r="F7" s="12" t="s">
        <v>34</v>
      </c>
      <c r="G7" s="3"/>
      <c r="H7" s="67" t="s">
        <v>7</v>
      </c>
      <c r="I7" s="67"/>
      <c r="J7" s="12" t="s">
        <v>8</v>
      </c>
      <c r="K7" s="3"/>
      <c r="L7" s="3"/>
      <c r="M7" s="3"/>
      <c r="N7" s="3"/>
      <c r="O7" s="3"/>
      <c r="P7" s="3"/>
    </row>
    <row r="8" spans="1:16" ht="15.6" x14ac:dyDescent="0.3">
      <c r="A8" s="13">
        <v>1</v>
      </c>
      <c r="B8" s="5" t="s">
        <v>9</v>
      </c>
      <c r="C8" s="14" t="s">
        <v>35</v>
      </c>
      <c r="D8" s="15"/>
      <c r="E8" s="16">
        <v>10.5</v>
      </c>
      <c r="F8" s="16">
        <v>66</v>
      </c>
      <c r="G8" s="11">
        <v>9</v>
      </c>
      <c r="H8" s="14" t="s">
        <v>40</v>
      </c>
      <c r="I8" s="8"/>
      <c r="J8" s="17">
        <v>10.5</v>
      </c>
      <c r="K8" s="3"/>
      <c r="L8" s="3"/>
      <c r="M8" s="3"/>
      <c r="N8" s="3"/>
      <c r="O8" s="3"/>
      <c r="P8" s="3"/>
    </row>
    <row r="9" spans="1:16" ht="15.6" x14ac:dyDescent="0.3">
      <c r="A9" s="13">
        <v>2</v>
      </c>
      <c r="B9" s="5" t="s">
        <v>10</v>
      </c>
      <c r="C9" s="14" t="s">
        <v>37</v>
      </c>
      <c r="D9" s="8"/>
      <c r="E9" s="16">
        <v>10.5</v>
      </c>
      <c r="F9" s="16"/>
      <c r="G9" s="11">
        <v>10</v>
      </c>
      <c r="H9" s="14"/>
      <c r="I9" s="8"/>
      <c r="J9" s="17">
        <v>0</v>
      </c>
      <c r="K9" s="3"/>
      <c r="L9" s="3"/>
      <c r="M9" s="3"/>
      <c r="N9" s="3"/>
      <c r="O9" s="3"/>
      <c r="P9" s="3"/>
    </row>
    <row r="10" spans="1:16" ht="15.6" x14ac:dyDescent="0.3">
      <c r="A10" s="13">
        <v>3</v>
      </c>
      <c r="B10" s="5" t="s">
        <v>11</v>
      </c>
      <c r="C10" s="14" t="s">
        <v>36</v>
      </c>
      <c r="D10" s="8"/>
      <c r="E10" s="16">
        <v>10.5</v>
      </c>
      <c r="F10" s="16">
        <v>78</v>
      </c>
      <c r="G10" s="11">
        <v>11</v>
      </c>
      <c r="H10" s="3"/>
      <c r="I10" s="8"/>
      <c r="J10" s="17"/>
      <c r="K10" s="3"/>
      <c r="L10" s="3"/>
      <c r="M10" s="3"/>
      <c r="N10" s="3"/>
      <c r="O10" s="3"/>
      <c r="P10" s="3"/>
    </row>
    <row r="11" spans="1:16" ht="15.6" x14ac:dyDescent="0.3">
      <c r="A11" s="13">
        <v>4</v>
      </c>
      <c r="B11" s="5" t="s">
        <v>12</v>
      </c>
      <c r="C11" s="14" t="s">
        <v>29</v>
      </c>
      <c r="D11" s="8"/>
      <c r="E11" s="16">
        <v>10.5</v>
      </c>
      <c r="F11" s="16"/>
      <c r="G11" s="11">
        <v>12</v>
      </c>
      <c r="H11" s="3"/>
      <c r="I11" s="8"/>
      <c r="J11" s="17"/>
      <c r="K11" s="3"/>
      <c r="L11" s="3"/>
      <c r="M11" s="3"/>
      <c r="N11" s="3"/>
      <c r="O11" s="3"/>
      <c r="P11" s="3"/>
    </row>
    <row r="12" spans="1:16" ht="15.6" x14ac:dyDescent="0.3">
      <c r="A12" s="13">
        <v>5</v>
      </c>
      <c r="B12" s="3"/>
      <c r="C12" s="31" t="s">
        <v>30</v>
      </c>
      <c r="D12" s="8"/>
      <c r="E12" s="16">
        <v>10.5</v>
      </c>
      <c r="F12" s="16"/>
      <c r="G12" s="11">
        <v>13</v>
      </c>
      <c r="H12" s="3"/>
      <c r="I12" s="8"/>
      <c r="J12" s="17"/>
      <c r="K12" s="3"/>
      <c r="L12" s="3"/>
      <c r="M12" s="3"/>
      <c r="N12" s="3"/>
      <c r="O12" s="3"/>
      <c r="P12" s="3"/>
    </row>
    <row r="13" spans="1:16" ht="15.6" x14ac:dyDescent="0.3">
      <c r="A13" s="13">
        <v>6</v>
      </c>
      <c r="B13" s="3"/>
      <c r="C13" s="14" t="s">
        <v>31</v>
      </c>
      <c r="D13" s="8"/>
      <c r="E13" s="16">
        <v>10.5</v>
      </c>
      <c r="F13" s="16">
        <v>74</v>
      </c>
      <c r="G13" s="11">
        <v>14</v>
      </c>
      <c r="H13" s="18"/>
      <c r="I13" s="8"/>
      <c r="J13" s="17"/>
      <c r="K13" s="3"/>
      <c r="L13" s="3"/>
      <c r="M13" s="3"/>
      <c r="N13" s="3"/>
      <c r="O13" s="3"/>
      <c r="P13" s="3"/>
    </row>
    <row r="14" spans="1:16" ht="15.6" x14ac:dyDescent="0.3">
      <c r="A14" s="13">
        <v>7</v>
      </c>
      <c r="B14" s="3"/>
      <c r="C14" s="14" t="s">
        <v>39</v>
      </c>
      <c r="D14" s="8"/>
      <c r="E14" s="16">
        <v>10.5</v>
      </c>
      <c r="F14" s="16"/>
      <c r="G14" s="11">
        <v>15</v>
      </c>
      <c r="H14" s="3"/>
      <c r="I14" s="8"/>
      <c r="J14" s="17"/>
      <c r="K14" s="3"/>
      <c r="L14" s="3"/>
      <c r="M14" s="3"/>
      <c r="N14" s="3"/>
      <c r="O14" s="3"/>
      <c r="P14" s="3"/>
    </row>
    <row r="15" spans="1:16" ht="15.6" x14ac:dyDescent="0.3">
      <c r="A15" s="13">
        <v>8</v>
      </c>
      <c r="B15" s="3"/>
      <c r="C15" s="14" t="s">
        <v>38</v>
      </c>
      <c r="D15" s="8"/>
      <c r="E15" s="16">
        <v>10.5</v>
      </c>
      <c r="F15" s="16"/>
      <c r="G15" s="11">
        <v>16</v>
      </c>
      <c r="H15" s="3"/>
      <c r="I15" s="8"/>
      <c r="J15" s="17"/>
      <c r="K15" s="3"/>
      <c r="L15" s="3"/>
      <c r="M15" s="3"/>
      <c r="N15" s="3"/>
      <c r="O15" s="3"/>
      <c r="P15" s="3"/>
    </row>
    <row r="16" spans="1:16" ht="15.6" x14ac:dyDescent="0.3">
      <c r="A16" s="3"/>
      <c r="B16" s="3"/>
      <c r="C16" s="3"/>
      <c r="D16" s="3"/>
      <c r="E16" s="3"/>
      <c r="F16" s="3"/>
      <c r="G16" s="13"/>
      <c r="H16" s="7" t="s">
        <v>13</v>
      </c>
      <c r="I16" s="3"/>
      <c r="J16" s="9">
        <f>SUM(E8:E15)+SUM(J8:J15)</f>
        <v>94.5</v>
      </c>
      <c r="K16" s="3"/>
      <c r="L16" s="3"/>
      <c r="M16" s="3"/>
      <c r="N16" s="3"/>
      <c r="O16" s="3"/>
      <c r="P16" s="3"/>
    </row>
    <row r="17" spans="1:16" ht="15.6" x14ac:dyDescent="0.3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  <c r="L17" s="3"/>
      <c r="M17" s="3"/>
      <c r="N17" s="3"/>
      <c r="O17" s="3"/>
      <c r="P17" s="3"/>
    </row>
    <row r="18" spans="1:16" ht="93.6" x14ac:dyDescent="0.3">
      <c r="A18" s="19"/>
      <c r="B18" s="20" t="s">
        <v>14</v>
      </c>
      <c r="C18" s="21" t="s">
        <v>15</v>
      </c>
      <c r="D18" s="22" t="s">
        <v>16</v>
      </c>
      <c r="E18" s="22" t="s">
        <v>17</v>
      </c>
      <c r="F18" s="22" t="s">
        <v>18</v>
      </c>
      <c r="G18" s="22" t="s">
        <v>19</v>
      </c>
      <c r="H18" s="22" t="s">
        <v>18</v>
      </c>
      <c r="I18" s="22" t="s">
        <v>19</v>
      </c>
      <c r="J18" s="22" t="s">
        <v>20</v>
      </c>
      <c r="K18" s="23" t="s">
        <v>21</v>
      </c>
      <c r="L18" s="24"/>
      <c r="M18" s="23" t="s">
        <v>22</v>
      </c>
      <c r="N18" s="23" t="s">
        <v>23</v>
      </c>
      <c r="O18" s="23" t="s">
        <v>24</v>
      </c>
      <c r="P18" s="23" t="s">
        <v>25</v>
      </c>
    </row>
    <row r="19" spans="1:16" ht="15.6" x14ac:dyDescent="0.3">
      <c r="A19" s="19"/>
      <c r="B19" s="19"/>
      <c r="C19" s="24"/>
      <c r="D19" s="24"/>
      <c r="E19" s="24"/>
      <c r="F19" s="24"/>
      <c r="G19" s="24"/>
      <c r="H19" s="24"/>
      <c r="I19" s="24"/>
      <c r="J19" s="24"/>
      <c r="K19" s="25"/>
      <c r="L19" s="24"/>
      <c r="M19" s="3"/>
      <c r="N19" s="3"/>
      <c r="O19" s="3"/>
      <c r="P19" s="3"/>
    </row>
    <row r="20" spans="1:16" ht="15.6" x14ac:dyDescent="0.3">
      <c r="A20" s="3"/>
      <c r="B20" s="8" t="s">
        <v>26</v>
      </c>
      <c r="C20" s="8">
        <v>1</v>
      </c>
      <c r="D20" s="8">
        <v>1</v>
      </c>
      <c r="E20" s="8"/>
      <c r="F20" s="8">
        <v>9</v>
      </c>
      <c r="G20" s="16">
        <v>10.5</v>
      </c>
      <c r="H20" s="8"/>
      <c r="I20" s="16"/>
      <c r="J20" s="16">
        <f>F20*G20+H20*I20</f>
        <v>94.5</v>
      </c>
      <c r="K20" s="16">
        <f>E20/(J20)</f>
        <v>0</v>
      </c>
      <c r="L20" s="3"/>
      <c r="M20" s="26">
        <v>0</v>
      </c>
      <c r="N20" s="27">
        <f>M20/C20</f>
        <v>0</v>
      </c>
      <c r="O20" s="16">
        <f>J20</f>
        <v>94.5</v>
      </c>
      <c r="P20" s="26">
        <f>M20/O20</f>
        <v>0</v>
      </c>
    </row>
    <row r="21" spans="1:16" ht="15.6" x14ac:dyDescent="0.3">
      <c r="A21" s="3"/>
      <c r="B21" s="3"/>
      <c r="C21" s="3"/>
      <c r="D21" s="3"/>
      <c r="E21" s="3"/>
      <c r="F21" s="3"/>
      <c r="G21" s="28"/>
      <c r="H21" s="3"/>
      <c r="I21" s="28"/>
      <c r="J21" s="28"/>
      <c r="K21" s="28"/>
      <c r="L21" s="3"/>
      <c r="M21" s="29"/>
      <c r="N21" s="3"/>
      <c r="O21" s="3"/>
      <c r="P21" s="3"/>
    </row>
    <row r="22" spans="1:16" ht="15.6" x14ac:dyDescent="0.3">
      <c r="A22" s="3"/>
      <c r="B22" s="8" t="s">
        <v>53</v>
      </c>
      <c r="C22" s="8">
        <v>125400</v>
      </c>
      <c r="D22" s="8"/>
      <c r="E22" s="8"/>
      <c r="F22" s="8"/>
      <c r="G22" s="16"/>
      <c r="H22" s="8"/>
      <c r="I22" s="16"/>
      <c r="J22" s="16">
        <f>F22*G22+H22*I22</f>
        <v>0</v>
      </c>
      <c r="K22" s="16" t="e">
        <f>E22/(J22)</f>
        <v>#DIV/0!</v>
      </c>
      <c r="L22" s="3"/>
      <c r="M22" s="26">
        <v>0</v>
      </c>
      <c r="N22" s="27">
        <f>M22/C22</f>
        <v>0</v>
      </c>
      <c r="O22" s="35">
        <f>J22</f>
        <v>0</v>
      </c>
      <c r="P22" s="26" t="e">
        <f>M22/O22</f>
        <v>#DIV/0!</v>
      </c>
    </row>
    <row r="23" spans="1:16" ht="15.6" x14ac:dyDescent="0.3">
      <c r="A23" s="3"/>
      <c r="B23" s="3"/>
      <c r="C23" s="3"/>
      <c r="D23" s="3"/>
      <c r="E23" s="3"/>
      <c r="F23" s="3"/>
      <c r="G23" s="28"/>
      <c r="H23" s="3"/>
      <c r="I23" s="28"/>
      <c r="J23" s="28"/>
      <c r="K23" s="28"/>
      <c r="L23" s="3"/>
      <c r="M23" s="29"/>
      <c r="N23" s="3"/>
      <c r="O23" s="36"/>
      <c r="P23" s="29"/>
    </row>
    <row r="24" spans="1:16" ht="15.6" x14ac:dyDescent="0.3">
      <c r="A24" s="3"/>
      <c r="B24" s="8" t="s">
        <v>54</v>
      </c>
      <c r="C24" s="8">
        <v>125400</v>
      </c>
      <c r="D24" s="8"/>
      <c r="E24" s="8"/>
      <c r="F24" s="8"/>
      <c r="G24" s="16"/>
      <c r="H24" s="8"/>
      <c r="I24" s="16"/>
      <c r="J24" s="16">
        <f>F24*G24+H24*I24</f>
        <v>0</v>
      </c>
      <c r="K24" s="16" t="e">
        <f>E24/(J24)</f>
        <v>#DIV/0!</v>
      </c>
      <c r="L24" s="3"/>
      <c r="M24" s="26">
        <v>0</v>
      </c>
      <c r="N24" s="27">
        <f>M24/C24</f>
        <v>0</v>
      </c>
      <c r="O24" s="35">
        <f>J24</f>
        <v>0</v>
      </c>
      <c r="P24" s="26" t="e">
        <f>M24/O24</f>
        <v>#DIV/0!</v>
      </c>
    </row>
    <row r="25" spans="1:16" ht="15.6" x14ac:dyDescent="0.3">
      <c r="A25" s="3"/>
      <c r="B25" s="3"/>
      <c r="C25" s="3"/>
      <c r="D25" s="3"/>
      <c r="E25" s="3"/>
      <c r="F25" s="3"/>
      <c r="G25" s="4"/>
      <c r="H25" s="3"/>
      <c r="I25" s="4"/>
      <c r="J25" s="4"/>
      <c r="K25" s="4"/>
      <c r="L25" s="3"/>
      <c r="M25" s="29"/>
      <c r="N25" s="3"/>
      <c r="O25" s="3"/>
      <c r="P25" s="3"/>
    </row>
    <row r="26" spans="1:16" ht="15.6" x14ac:dyDescent="0.3">
      <c r="A26" s="3"/>
      <c r="B26" s="8" t="s">
        <v>44</v>
      </c>
      <c r="C26" s="8">
        <v>3040</v>
      </c>
      <c r="D26" s="8"/>
      <c r="E26" s="8"/>
      <c r="F26" s="8"/>
      <c r="G26" s="16"/>
      <c r="H26" s="8"/>
      <c r="I26" s="16"/>
      <c r="J26" s="16">
        <f>F26*G26+H26*I26</f>
        <v>0</v>
      </c>
      <c r="K26" s="16" t="e">
        <f>E26/(J26)</f>
        <v>#DIV/0!</v>
      </c>
      <c r="L26" s="3"/>
      <c r="M26" s="26">
        <v>0</v>
      </c>
      <c r="N26" s="27">
        <f>M26/C26</f>
        <v>0</v>
      </c>
      <c r="O26" s="35">
        <f>J26</f>
        <v>0</v>
      </c>
      <c r="P26" s="26" t="e">
        <f>M26/O26</f>
        <v>#DIV/0!</v>
      </c>
    </row>
    <row r="27" spans="1:16" ht="15.6" x14ac:dyDescent="0.3">
      <c r="A27" s="3"/>
      <c r="B27" s="3"/>
      <c r="C27" s="3"/>
      <c r="D27" s="3"/>
      <c r="E27" s="3"/>
      <c r="F27" s="3"/>
      <c r="G27" s="4"/>
      <c r="H27" s="3"/>
      <c r="I27" s="4"/>
      <c r="J27" s="4"/>
      <c r="K27" s="4"/>
      <c r="L27" s="3"/>
      <c r="M27" s="29"/>
      <c r="N27" s="3"/>
      <c r="O27" s="3"/>
      <c r="P27" s="3"/>
    </row>
    <row r="28" spans="1:16" ht="15.6" x14ac:dyDescent="0.3">
      <c r="A28" s="3"/>
      <c r="B28" s="8" t="s">
        <v>45</v>
      </c>
      <c r="C28" s="8">
        <v>3040</v>
      </c>
      <c r="D28" s="8"/>
      <c r="E28" s="8"/>
      <c r="F28" s="8"/>
      <c r="G28" s="16"/>
      <c r="H28" s="8"/>
      <c r="I28" s="16"/>
      <c r="J28" s="16">
        <f>F28*G28+H28*I28</f>
        <v>0</v>
      </c>
      <c r="K28" s="16" t="e">
        <f>E28/(J28)</f>
        <v>#DIV/0!</v>
      </c>
      <c r="L28" s="3"/>
      <c r="M28" s="26">
        <v>0</v>
      </c>
      <c r="N28" s="27">
        <f>M28/C28</f>
        <v>0</v>
      </c>
      <c r="O28" s="35">
        <f>J28</f>
        <v>0</v>
      </c>
      <c r="P28" s="26" t="e">
        <f>M28/O28</f>
        <v>#DIV/0!</v>
      </c>
    </row>
    <row r="29" spans="1:16" ht="15.6" x14ac:dyDescent="0.3">
      <c r="A29" s="3"/>
      <c r="B29" s="3"/>
      <c r="C29" s="3"/>
      <c r="D29" s="3"/>
      <c r="E29" s="3"/>
      <c r="F29" s="3"/>
      <c r="G29" s="4"/>
      <c r="H29" s="3"/>
      <c r="I29" s="4"/>
      <c r="J29" s="4"/>
      <c r="K29" s="4"/>
      <c r="L29" s="3"/>
      <c r="M29" s="29"/>
      <c r="N29" s="3"/>
      <c r="O29" s="3"/>
      <c r="P29" s="3"/>
    </row>
    <row r="30" spans="1:16" ht="15.6" x14ac:dyDescent="0.3">
      <c r="A30" s="3"/>
      <c r="B30" s="8" t="s">
        <v>47</v>
      </c>
      <c r="C30" s="8">
        <v>125400</v>
      </c>
      <c r="D30" s="8"/>
      <c r="E30" s="8"/>
      <c r="F30" s="8"/>
      <c r="G30" s="16"/>
      <c r="H30" s="8"/>
      <c r="I30" s="16"/>
      <c r="J30" s="16">
        <f>F30*G30+H30*I30</f>
        <v>0</v>
      </c>
      <c r="K30" s="16" t="e">
        <f>E30/(J30)</f>
        <v>#DIV/0!</v>
      </c>
      <c r="L30" s="3"/>
      <c r="M30" s="26">
        <v>0</v>
      </c>
      <c r="N30" s="27">
        <f>M30/C30</f>
        <v>0</v>
      </c>
      <c r="O30" s="35">
        <f>J30</f>
        <v>0</v>
      </c>
      <c r="P30" s="26" t="e">
        <f>M30/O30</f>
        <v>#DIV/0!</v>
      </c>
    </row>
    <row r="31" spans="1:16" ht="15.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7"/>
      <c r="O31" s="3"/>
      <c r="P31" s="3"/>
    </row>
    <row r="32" spans="1:16" ht="15.6" x14ac:dyDescent="0.3">
      <c r="A32" s="3"/>
      <c r="B32" s="8" t="s">
        <v>46</v>
      </c>
      <c r="C32" s="8">
        <v>324</v>
      </c>
      <c r="D32" s="8"/>
      <c r="E32" s="8"/>
      <c r="F32" s="8"/>
      <c r="G32" s="16"/>
      <c r="H32" s="8"/>
      <c r="I32" s="16"/>
      <c r="J32" s="16">
        <f>F32*G32+H32*I32</f>
        <v>0</v>
      </c>
      <c r="K32" s="16" t="e">
        <f>E32/(J32)</f>
        <v>#DIV/0!</v>
      </c>
      <c r="L32" s="3"/>
      <c r="M32" s="26">
        <v>0</v>
      </c>
      <c r="N32" s="27">
        <f>M32/C32</f>
        <v>0</v>
      </c>
      <c r="O32" s="35">
        <f>J32</f>
        <v>0</v>
      </c>
      <c r="P32" s="26" t="e">
        <f>M32/O32</f>
        <v>#DIV/0!</v>
      </c>
    </row>
    <row r="33" spans="1:16" ht="15.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7"/>
      <c r="O33" s="3"/>
      <c r="P33" s="3"/>
    </row>
    <row r="34" spans="1:16" ht="15.6" x14ac:dyDescent="0.3">
      <c r="A34" s="3"/>
      <c r="B34" s="8" t="s">
        <v>48</v>
      </c>
      <c r="C34" s="8">
        <v>115000</v>
      </c>
      <c r="D34" s="8"/>
      <c r="E34" s="8"/>
      <c r="F34" s="8"/>
      <c r="G34" s="16"/>
      <c r="H34" s="8"/>
      <c r="I34" s="16"/>
      <c r="J34" s="16">
        <f>F34*G34+H34*I34</f>
        <v>0</v>
      </c>
      <c r="K34" s="16" t="e">
        <f>E34/(J34)</f>
        <v>#DIV/0!</v>
      </c>
      <c r="L34" s="3"/>
      <c r="M34" s="26">
        <v>0</v>
      </c>
      <c r="N34" s="27">
        <f>M34/C34</f>
        <v>0</v>
      </c>
      <c r="O34" s="35">
        <f>J34</f>
        <v>0</v>
      </c>
      <c r="P34" s="26" t="e">
        <f>M34/O34</f>
        <v>#DIV/0!</v>
      </c>
    </row>
    <row r="35" spans="1:16" ht="15.6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27"/>
      <c r="O35" s="3"/>
      <c r="P35" s="3"/>
    </row>
    <row r="36" spans="1:16" ht="15.6" x14ac:dyDescent="0.3">
      <c r="A36" s="3"/>
      <c r="B36" s="8" t="s">
        <v>49</v>
      </c>
      <c r="C36" s="8">
        <v>8</v>
      </c>
      <c r="D36" s="8"/>
      <c r="E36" s="8"/>
      <c r="F36" s="8"/>
      <c r="G36" s="16"/>
      <c r="H36" s="8"/>
      <c r="I36" s="16"/>
      <c r="J36" s="16">
        <f>F36*G36+H36*I36</f>
        <v>0</v>
      </c>
      <c r="K36" s="16" t="e">
        <f>E36/(J36)</f>
        <v>#DIV/0!</v>
      </c>
      <c r="L36" s="3"/>
      <c r="M36" s="26">
        <v>0</v>
      </c>
      <c r="N36" s="27">
        <f>M36/C36</f>
        <v>0</v>
      </c>
      <c r="O36" s="35">
        <f>J36</f>
        <v>0</v>
      </c>
      <c r="P36" s="26" t="e">
        <f>M36/O36</f>
        <v>#DIV/0!</v>
      </c>
    </row>
    <row r="37" spans="1:16" ht="15.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27"/>
      <c r="O37" s="3"/>
      <c r="P37" s="3"/>
    </row>
    <row r="38" spans="1:16" ht="15.6" x14ac:dyDescent="0.3">
      <c r="A38" s="3"/>
      <c r="B38" s="8" t="s">
        <v>50</v>
      </c>
      <c r="C38" s="8">
        <f>2760+480</f>
        <v>3240</v>
      </c>
      <c r="D38" s="8"/>
      <c r="E38" s="8"/>
      <c r="F38" s="8"/>
      <c r="G38" s="16"/>
      <c r="H38" s="8"/>
      <c r="I38" s="16"/>
      <c r="J38" s="16">
        <f>F38*G38+H38*I38</f>
        <v>0</v>
      </c>
      <c r="K38" s="16" t="e">
        <f>E38/(J38)</f>
        <v>#DIV/0!</v>
      </c>
      <c r="L38" s="3"/>
      <c r="M38" s="26">
        <v>0</v>
      </c>
      <c r="N38" s="27">
        <f>M38/C38</f>
        <v>0</v>
      </c>
      <c r="O38" s="35">
        <f>J38</f>
        <v>0</v>
      </c>
      <c r="P38" s="26" t="e">
        <f>M38/O38</f>
        <v>#DIV/0!</v>
      </c>
    </row>
    <row r="39" spans="1:16" ht="15.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7"/>
      <c r="O39" s="3"/>
      <c r="P39" s="3"/>
    </row>
    <row r="40" spans="1:16" ht="15.6" x14ac:dyDescent="0.3">
      <c r="A40" s="3"/>
      <c r="B40" s="8" t="s">
        <v>51</v>
      </c>
      <c r="C40" s="8">
        <v>25</v>
      </c>
      <c r="D40" s="8"/>
      <c r="E40" s="8"/>
      <c r="F40" s="8"/>
      <c r="G40" s="16"/>
      <c r="H40" s="8"/>
      <c r="I40" s="16"/>
      <c r="J40" s="16">
        <f>F40*G40+H40*I40</f>
        <v>0</v>
      </c>
      <c r="K40" s="16" t="e">
        <f>E40/(J40)</f>
        <v>#DIV/0!</v>
      </c>
      <c r="L40" s="3"/>
      <c r="M40" s="26">
        <v>0</v>
      </c>
      <c r="N40" s="27">
        <f>M40/C40</f>
        <v>0</v>
      </c>
      <c r="O40" s="35">
        <f>J40</f>
        <v>0</v>
      </c>
      <c r="P40" s="26" t="e">
        <f>M40/O40</f>
        <v>#DIV/0!</v>
      </c>
    </row>
    <row r="41" spans="1:16" ht="15.6" x14ac:dyDescent="0.3">
      <c r="A41" s="3"/>
      <c r="B41" s="3" t="s">
        <v>27</v>
      </c>
      <c r="C41" s="3"/>
      <c r="D41" s="3"/>
      <c r="E41" s="3"/>
      <c r="F41" s="3"/>
      <c r="G41" s="3"/>
      <c r="H41" s="30"/>
      <c r="I41" s="4"/>
      <c r="J41" s="30">
        <f>J20+J22+J24+J26+J28+J30+J32+J34+J36+J38+J40</f>
        <v>94.5</v>
      </c>
      <c r="K41" s="3"/>
      <c r="L41" s="3"/>
      <c r="M41" s="3"/>
      <c r="N41" s="3"/>
      <c r="O41" s="32">
        <f>O20+O22+O24+O26+O28+O30+O32+O34+O36+O38+O40</f>
        <v>94.5</v>
      </c>
      <c r="P41" s="3"/>
    </row>
    <row r="42" spans="1:16" ht="15.6" x14ac:dyDescent="0.3">
      <c r="A42" s="3"/>
      <c r="B42" s="3"/>
      <c r="C42" s="3"/>
      <c r="D42" s="3"/>
      <c r="E42" s="3"/>
      <c r="F42" s="3"/>
      <c r="G42" s="3"/>
      <c r="H42" s="3"/>
      <c r="I42" s="4"/>
      <c r="J42" s="3"/>
      <c r="K42" s="3"/>
      <c r="L42" s="3"/>
      <c r="M42" s="3"/>
      <c r="N42" s="3"/>
      <c r="O42" s="3"/>
      <c r="P42" s="3"/>
    </row>
    <row r="43" spans="1:16" ht="15.6" x14ac:dyDescent="0.3">
      <c r="A43" s="3"/>
      <c r="B43" s="3" t="s">
        <v>28</v>
      </c>
      <c r="C43" s="3" t="s">
        <v>52</v>
      </c>
      <c r="D43" s="3"/>
      <c r="E43" s="3"/>
      <c r="F43" s="3"/>
      <c r="G43" s="3"/>
      <c r="H43" s="3"/>
      <c r="I43" s="4"/>
      <c r="J43" s="3"/>
      <c r="K43" s="3"/>
      <c r="L43" s="3"/>
      <c r="M43" s="3"/>
      <c r="N43" s="3"/>
      <c r="O43" s="3"/>
      <c r="P43" s="3"/>
    </row>
    <row r="44" spans="1:16" ht="15.6" x14ac:dyDescent="0.3">
      <c r="C44" s="33"/>
    </row>
    <row r="45" spans="1:16" ht="15.6" x14ac:dyDescent="0.3">
      <c r="B45" s="3" t="s">
        <v>32</v>
      </c>
      <c r="C45" s="33" t="s">
        <v>52</v>
      </c>
    </row>
    <row r="46" spans="1:16" ht="15.6" x14ac:dyDescent="0.3">
      <c r="C46" s="33"/>
    </row>
    <row r="47" spans="1:16" ht="15.6" x14ac:dyDescent="0.3">
      <c r="B47" s="3" t="s">
        <v>33</v>
      </c>
      <c r="C47" s="3" t="s">
        <v>52</v>
      </c>
    </row>
  </sheetData>
  <mergeCells count="2">
    <mergeCell ref="A1:G1"/>
    <mergeCell ref="H7:I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56</vt:i4>
      </vt:variant>
    </vt:vector>
  </HeadingPairs>
  <TitlesOfParts>
    <vt:vector size="56" baseType="lpstr">
      <vt:lpstr>7-21</vt:lpstr>
      <vt:lpstr>7-10-22</vt:lpstr>
      <vt:lpstr>7-9-22</vt:lpstr>
      <vt:lpstr>7-8-22</vt:lpstr>
      <vt:lpstr>Sheet1</vt:lpstr>
      <vt:lpstr>Sheet2</vt:lpstr>
      <vt:lpstr>Sheet3</vt:lpstr>
      <vt:lpstr>Sheet4</vt:lpstr>
      <vt:lpstr>Sheet5</vt:lpstr>
      <vt:lpstr>7-1-22</vt:lpstr>
      <vt:lpstr>6-30-22</vt:lpstr>
      <vt:lpstr>6-29-22</vt:lpstr>
      <vt:lpstr>6-28-22</vt:lpstr>
      <vt:lpstr>6-27-22</vt:lpstr>
      <vt:lpstr>6-26-22</vt:lpstr>
      <vt:lpstr>6-25-22</vt:lpstr>
      <vt:lpstr>6-24-22</vt:lpstr>
      <vt:lpstr>6-23-22</vt:lpstr>
      <vt:lpstr>6-22-22</vt:lpstr>
      <vt:lpstr>6-21-22</vt:lpstr>
      <vt:lpstr>6-20-22</vt:lpstr>
      <vt:lpstr>6-19-22</vt:lpstr>
      <vt:lpstr>6-18-22</vt:lpstr>
      <vt:lpstr>6-17-22</vt:lpstr>
      <vt:lpstr>6-16-22</vt:lpstr>
      <vt:lpstr>6-15-22</vt:lpstr>
      <vt:lpstr>6-14-22</vt:lpstr>
      <vt:lpstr>6-13-22</vt:lpstr>
      <vt:lpstr>6-12-22</vt:lpstr>
      <vt:lpstr>6-11-22</vt:lpstr>
      <vt:lpstr>6-10-22</vt:lpstr>
      <vt:lpstr>6-9-22</vt:lpstr>
      <vt:lpstr>6-8-22</vt:lpstr>
      <vt:lpstr>6-7-22</vt:lpstr>
      <vt:lpstr>6-6-22</vt:lpstr>
      <vt:lpstr>6-5-22</vt:lpstr>
      <vt:lpstr>6-4-22</vt:lpstr>
      <vt:lpstr>6-3-22</vt:lpstr>
      <vt:lpstr>6-2-22</vt:lpstr>
      <vt:lpstr>6-1-22</vt:lpstr>
      <vt:lpstr>5-31-22</vt:lpstr>
      <vt:lpstr>5-30-22</vt:lpstr>
      <vt:lpstr>5-29-22</vt:lpstr>
      <vt:lpstr>5-28-22</vt:lpstr>
      <vt:lpstr>5-27-22</vt:lpstr>
      <vt:lpstr>5-26-22</vt:lpstr>
      <vt:lpstr>5-25-22</vt:lpstr>
      <vt:lpstr>5-24-22</vt:lpstr>
      <vt:lpstr>5-23-22</vt:lpstr>
      <vt:lpstr>5-22-22</vt:lpstr>
      <vt:lpstr>5-21-22</vt:lpstr>
      <vt:lpstr>5-20-22</vt:lpstr>
      <vt:lpstr>5-19-22</vt:lpstr>
      <vt:lpstr>5-18-22</vt:lpstr>
      <vt:lpstr>5-17-22</vt:lpstr>
      <vt:lpstr>5-16-22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 Hice</dc:creator>
  <cp:lastModifiedBy>Harold Bermudez</cp:lastModifiedBy>
  <cp:lastPrinted>2022-05-15T22:41:51Z</cp:lastPrinted>
  <dcterms:created xsi:type="dcterms:W3CDTF">2022-04-11T14:34:34Z</dcterms:created>
  <dcterms:modified xsi:type="dcterms:W3CDTF">2026-03-20T15:54:55Z</dcterms:modified>
</cp:coreProperties>
</file>